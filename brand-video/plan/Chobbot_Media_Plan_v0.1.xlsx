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1 Streamer Stories" sheetId="2" state="visible" r:id="rId4"/>
    <sheet name="2 Brand · Generic" sheetId="3" state="visible" r:id="rId5"/>
    <sheet name="3 Brand · Master" sheetId="4" state="visible" r:id="rId6"/>
    <sheet name="Story &amp; Song" sheetId="5" state="visible" r:id="rId7"/>
    <sheet name="Assets" sheetId="6" state="visible" r:id="rId8"/>
    <sheet name="Style Library" sheetId="7" state="visible" r:id="rId9"/>
    <sheet name="Effort Levels" sheetId="8" state="visible" r:id="rId10"/>
  </sheets>
  <definedNames>
    <definedName function="false" hidden="true" localSheetId="1" name="_xlnm._FilterDatabase" vbProcedure="false">'1 Streamer Stories'!$A$4:$U$13</definedName>
    <definedName function="false" hidden="true" localSheetId="2" name="_xlnm._FilterDatabase" vbProcedure="false">'2 Brand · Generic'!$A$4:$V$20</definedName>
    <definedName function="false" hidden="true" localSheetId="3" name="_xlnm._FilterDatabase" vbProcedure="false">'3 Brand · Master'!$A$9:$I$14</definedName>
    <definedName function="false" hidden="true" localSheetId="5" name="_xlnm._FilterDatabase" vbProcedure="false">Assets!$A$4:$I$25</definedName>
    <definedName function="false" hidden="true" localSheetId="4" name="_xlnm._FilterDatabase" vbProcedure="false">'Story &amp; Song'!$A$4:$K$30</definedName>
    <definedName function="false" hidden="true" localSheetId="6" name="_xlnm._FilterDatabase" vbProcedure="false">'Style Library'!$A$4:$G$28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<sst xmlns="http://schemas.openxmlformats.org/spreadsheetml/2006/main" count="1278" uniqueCount="619">
  <si>
    <t xml:space="preserve">Chobbot media plan · v0.1 (mockup)</t>
  </si>
  <si>
    <t xml:space="preserve">Read top to bottom, then work through the section tabs. Counts below update from the tabs.</t>
  </si>
  <si>
    <t xml:space="preserve">Sections</t>
  </si>
  <si>
    <t xml:space="preserve">Section</t>
  </si>
  <si>
    <t xml:space="preserve">Tab</t>
  </si>
  <si>
    <t xml:space="preserve">What it is</t>
  </si>
  <si>
    <t xml:space="preserve">Versions</t>
  </si>
  <si>
    <t xml:space="preserve">Films</t>
  </si>
  <si>
    <t xml:space="preserve">Scripts approved</t>
  </si>
  <si>
    <t xml:space="preserve">Music approved</t>
  </si>
  <si>
    <t xml:space="preserve">Rendered (approved)</t>
  </si>
  <si>
    <t xml:space="preserve">1 · Streamer Stories</t>
  </si>
  <si>
    <t xml:space="preserve">1 Streamer Stories</t>
  </si>
  <si>
    <t xml:space="preserve">Real Reddit stories → script → music → video. One art style per episode.</t>
  </si>
  <si>
    <t xml:space="preserve">MV only</t>
  </si>
  <si>
    <t xml:space="preserve">2 · Brand · Generic</t>
  </si>
  <si>
    <t xml:space="preserve">2 Brand · Generic</t>
  </si>
  <si>
    <t xml:space="preserve">One pain → need → function per film.</t>
  </si>
  <si>
    <t xml:space="preserve">A majestic technical · B music video</t>
  </si>
  <si>
    <t xml:space="preserve">3 · Brand · Master</t>
  </si>
  <si>
    <t xml:space="preserve">3 Brand · Master</t>
  </si>
  <si>
    <t xml:space="preserve">The whole ecosystem in one film.</t>
  </si>
  <si>
    <t xml:space="preserve">Work order (every film)</t>
  </si>
  <si>
    <t xml:space="preserve">1 Brief</t>
  </si>
  <si>
    <t xml:space="preserve">Nothing is built before its script is approved and its audio exists.</t>
  </si>
  <si>
    <t xml:space="preserve">2 Script</t>
  </si>
  <si>
    <t xml:space="preserve">3 Music (written to the approved script)</t>
  </si>
  <si>
    <t xml:space="preserve">4 Audio analysis</t>
  </si>
  <si>
    <t xml:space="preserve">5 Style frames</t>
  </si>
  <si>
    <t xml:space="preserve">6 Assets</t>
  </si>
  <si>
    <t xml:space="preserve">7 Animatic</t>
  </si>
  <si>
    <t xml:space="preserve">8 Build &amp; render</t>
  </si>
  <si>
    <t xml:space="preserve">Legend</t>
  </si>
  <si>
    <t xml:space="preserve">Yellow cells</t>
  </si>
  <si>
    <t xml:space="preserve">You fill these in (titles, links, dates, owners, notes).</t>
  </si>
  <si>
    <t xml:space="preserve">Grey italic row</t>
  </si>
  <si>
    <t xml:space="preserve">Example row showing the expected format. Delete it when you start.</t>
  </si>
  <si>
    <t xml:space="preserve">Status values (dropdown in every status column)</t>
  </si>
  <si>
    <t xml:space="preserve">Not started</t>
  </si>
  <si>
    <t xml:space="preserve">In progress</t>
  </si>
  <si>
    <t xml:space="preserve">Review</t>
  </si>
  <si>
    <t xml:space="preserve">Approved</t>
  </si>
  <si>
    <t xml:space="preserve">Blocked</t>
  </si>
  <si>
    <t xml:space="preserve">N/A</t>
  </si>
  <si>
    <t xml:space="preserve">Open items</t>
  </si>
  <si>
    <t xml:space="preserve">☐  Real product feature list (replaces every “(confirm)” in tab 2)</t>
  </si>
  <si>
    <t xml:space="preserve">☐  Brand tokens: colours, fonts, logo SVG (from the web design)</t>
  </si>
  <si>
    <t xml:space="preserve">☐  Pain-point ranking: goignon report + 10 streamer interviews (docs/USE_CASES.md §7)</t>
  </si>
  <si>
    <t xml:space="preserve">☐  Story Fisher: 12 stories shortlisted in n8n; pick the first 3 for tab 1</t>
  </si>
  <si>
    <t xml:space="preserve">☐  Style rule: mixed styles from the Style Library tab, no anime/cartoon humans (docs/STYLE_DECK.md)</t>
  </si>
  <si>
    <t xml:space="preserve">☐  Songs: every film ≥ 45 s; prompts and lyrics in tab Story &amp; Song (docs/SUNO_GUIDE.md)</t>
  </si>
  <si>
    <t xml:space="preserve">☐  Every Story opens with “Based on a true story” (1.5 bars, 2.5–3 s, over the first shot)</t>
  </si>
  <si>
    <t xml:space="preserve">Source docs: brand-video/docs/ (SERIES, PIPELINE, USE_CASES, TIER_LIST, CONCEPT). Version 0.1, 2026-10-03.</t>
  </si>
  <si>
    <t xml:space="preserve">☐  All statistics on screen verified at the primary source</t>
  </si>
  <si>
    <t xml:space="preserve">Section 1 · Streamer Stories (music videos)</t>
  </si>
  <si>
    <t xml:space="preserve">Method: Reddit story → script → music → video. Stories come from the n8n Story Fisher (table reddit_streamer_stories, status = new). One art style per episode; the companion only as a cameo.</t>
  </si>
  <si>
    <t xml:space="preserve">ID</t>
  </si>
  <si>
    <t xml:space="preserve">Working title</t>
  </si>
  <si>
    <t xml:space="preserve">Story source (Reddit link)</t>
  </si>
  <si>
    <t xml:space="preserve">Logline (facts only)</t>
  </si>
  <si>
    <t xml:space="preserve">Emotion</t>
  </si>
  <si>
    <t xml:space="preserve">Pain #s</t>
  </si>
  <si>
    <t xml:space="preserve">Persona</t>
  </si>
  <si>
    <t xml:space="preserve">Style deck (home → switches)</t>
  </si>
  <si>
    <t xml:space="preserve">Song genre / tempo</t>
  </si>
  <si>
    <t xml:space="preserve">Format</t>
  </si>
  <si>
    <t xml:space="preserve">Length</t>
  </si>
  <si>
    <t xml:space="preserve">Rights / permission</t>
  </si>
  <si>
    <t xml:space="preserve">Script</t>
  </si>
  <si>
    <t xml:space="preserve">Music</t>
  </si>
  <si>
    <t xml:space="preserve">Assets</t>
  </si>
  <si>
    <t xml:space="preserve">Animatic</t>
  </si>
  <si>
    <t xml:space="preserve">Build &amp; render</t>
  </si>
  <si>
    <t xml:space="preserve">Publish date</t>
  </si>
  <si>
    <t xml:space="preserve">Platforms</t>
  </si>
  <si>
    <t xml:space="preserve">Owner</t>
  </si>
  <si>
    <t xml:space="preserve">Notes</t>
  </si>
  <si>
    <t xml:space="preserve">ST-EX</t>
  </si>
  <si>
    <t xml:space="preserve">EXAMPLE · “The lurker who said hi” (delete this row)</t>
  </si>
  <si>
    <t xml:space="preserve">https://www.reddit.com/r/Twitch/comments/xxxxxx/</t>
  </si>
  <si>
    <t xml:space="preserve">After 40 streams with no chat, a lurker types hi on the day the streamer planned to quit.</t>
  </si>
  <si>
    <t xml:space="preserve">wholesome</t>
  </si>
  <si>
    <t xml:space="preserve">1, 8, 16</t>
  </si>
  <si>
    <t xml:space="preserve">Starter</t>
  </si>
  <si>
    <t xml:space="preserve">Pixel art → Papercut · Neon line · Constellations</t>
  </si>
  <si>
    <t xml:space="preserve">Lo-fi into a hard drop, 128 BPM</t>
  </si>
  <si>
    <t xml:space="preserve">9:16 + 16:9</t>
  </si>
  <si>
    <t xml:space="preserve">45 s</t>
  </si>
  <si>
    <t xml:space="preserve">Asked author 2026-10-05, waiting</t>
  </si>
  <si>
    <t xml:space="preserve">TikTok, Shorts, Reels</t>
  </si>
  <si>
    <t xml:space="preserve">Example of the expected format</t>
  </si>
  <si>
    <t xml:space="preserve">ST-01</t>
  </si>
  <si>
    <t xml:space="preserve">The train ride (first film, level 6)</t>
  </si>
  <si>
    <t xml:space="preserve">https://www.reddit.com/r/Twitch/comments/1pujw7y/</t>
  </si>
  <si>
    <t xml:space="preserve">Christmas IRL tour, 3 viewers at peak; one viewer, who had never been on a train, watches the city turn to farmland until the signal drops and calls it an amazing stream.</t>
  </si>
  <si>
    <t xml:space="preserve">8, 15</t>
  </si>
  <si>
    <t xml:space="preserve">Pixel art → Neon line · Halftone</t>
  </si>
  <si>
    <t xml:space="preserve">Catchy upbeat indie pop, 123 BPM</t>
  </si>
  <si>
    <t xml:space="preserve">≈61 s (58.3 s song + end card)</t>
  </si>
  <si>
    <t xml:space="preserve">Anonymised retelling; permission DM drafted (in the script)</t>
  </si>
  <si>
    <t xml:space="preserve">Script: docs/scripts/ST-01_train-ride.md · 2026-10-04: song approved (master song_with_intro.wav); script v0.7 retimed. Next: style frames. · 2026-10-04: style frames approved (13 scenes, no on-screen people, the phone is the protagonist); quality band 6–10. Animatic rendering.</t>
  </si>
  <si>
    <t xml:space="preserve">ST-02</t>
  </si>
  <si>
    <t xml:space="preserve">The raid from the hero (level 6)</t>
  </si>
  <si>
    <t xml:space="preserve">https://www.reddit.com/r/Twitch/comments/1jjlhk4/</t>
  </si>
  <si>
    <t xml:space="preserve">Found a cowboy-hat speedrunner on YouTube in 2020, started streaming retro games; while playing Ninja Gaiden with 4 viewers, got raided by that same speedrunner.</t>
  </si>
  <si>
    <t xml:space="preserve">triumphant</t>
  </si>
  <si>
    <t xml:space="preserve">15</t>
  </si>
  <si>
    <t xml:space="preserve">Voxel diorama → CRT/VHS · LED dot-matrix · Kinetic type · Stained glass</t>
  </si>
  <si>
    <t xml:space="preserve">Chiptune pop-punk, 140 BPM</t>
  </si>
  <si>
    <t xml:space="preserve">55 s</t>
  </si>
  <si>
    <t xml:space="preserve">Anonymised; never name the speedrunner; ask the author</t>
  </si>
  <si>
    <t xml:space="preserve">Storyline + Suno prompt in tab Story &amp; Song</t>
  </si>
  <si>
    <t xml:space="preserve">ST-03</t>
  </si>
  <si>
    <t xml:space="preserve">Engraving → Blueprint · Thermal · Terminal/ASCII</t>
  </si>
  <si>
    <t xml:space="preserve">50–60 s</t>
  </si>
  <si>
    <t xml:space="preserve">Pick from the Story Fisher shortlist</t>
  </si>
  <si>
    <t xml:space="preserve">ST-04</t>
  </si>
  <si>
    <t xml:space="preserve">Pixel art → CRT/VHS · Oscilloscope · Halftone</t>
  </si>
  <si>
    <t xml:space="preserve">ST-05</t>
  </si>
  <si>
    <t xml:space="preserve">Papercut → Stained glass · Neon line · Constellations</t>
  </si>
  <si>
    <t xml:space="preserve">ST-06</t>
  </si>
  <si>
    <t xml:space="preserve">Voxel diorama → Pixel art · Glitch · Kinetic type</t>
  </si>
  <si>
    <t xml:space="preserve">ST-07</t>
  </si>
  <si>
    <t xml:space="preserve">Neon line → LED dot-matrix · Halftone · Particles</t>
  </si>
  <si>
    <t xml:space="preserve">ST-08</t>
  </si>
  <si>
    <t xml:space="preserve">Halftone → Papercut · Blueprint · CRT/VHS</t>
  </si>
  <si>
    <t xml:space="preserve">Section 2 · Brand · Generic (pain → need → function)</t>
  </si>
  <si>
    <t xml:space="preserve">One use case per film. Every film has an A version (majestic, technical, score + statements) and a B version (music video with a song). Functions marked (confirm) are assumptions until the product list arrives.</t>
  </si>
  <si>
    <t xml:space="preserve">Version</t>
  </si>
  <si>
    <t xml:space="preserve">Use case</t>
  </si>
  <si>
    <t xml:space="preserve">Pain #</t>
  </si>
  <si>
    <t xml:space="preserve">The pain (their words)</t>
  </si>
  <si>
    <t xml:space="preserve">The need</t>
  </si>
  <si>
    <t xml:space="preserve">Function shown</t>
  </si>
  <si>
    <t xml:space="preserve">Product layer</t>
  </si>
  <si>
    <t xml:space="preserve">Direction / look</t>
  </si>
  <si>
    <t xml:space="preserve">One message</t>
  </si>
  <si>
    <t xml:space="preserve">Proof needed</t>
  </si>
  <si>
    <t xml:space="preserve">GN-U1A</t>
  </si>
  <si>
    <t xml:space="preserve">A</t>
  </si>
  <si>
    <t xml:space="preserve">“Hi?” → “Welcome back, Sam!”</t>
  </si>
  <si>
    <t xml:space="preserve">3</t>
  </si>
  <si>
    <t xml:space="preserve">“Someone said hi and I didn’t see it.”</t>
  </si>
  <si>
    <t xml:space="preserve">Never miss a newcomer</t>
  </si>
  <si>
    <t xml:space="preserve">Greets first-time chatters, flags them to the streamer (confirm)</t>
  </si>
  <si>
    <t xml:space="preserve">Live (free)</t>
  </si>
  <si>
    <t xml:space="preserve">A · Majestic technical: instrumental score, slow precise camera, exploded system view, one light (the companion). Deck: raymarched + blueprint → constellations · data/UI · engraving</t>
  </si>
  <si>
    <t xml:space="preserve">Returning-newcomer count</t>
  </si>
  <si>
    <t xml:space="preserve">9:16 first, 16:9</t>
  </si>
  <si>
    <t xml:space="preserve">GN-U1B</t>
  </si>
  <si>
    <t xml:space="preserve">B</t>
  </si>
  <si>
    <t xml:space="preserve">B · Music video: song written from the script, pixel/voxel streamer room, kinetic word-synced lyrics. Deck: pixel or voxel → CRT · halftone · kinetic type · neon line</t>
  </si>
  <si>
    <t xml:space="preserve">GN-U2A</t>
  </si>
  <si>
    <t xml:space="preserve">The 40th “what rank are you?”</t>
  </si>
  <si>
    <t xml:space="preserve">Grinder</t>
  </si>
  <si>
    <t xml:space="preserve">4</t>
  </si>
  <si>
    <t xml:space="preserve">“Chat asks the same question 40 times.”</t>
  </si>
  <si>
    <t xml:space="preserve">Answers without stopping play</t>
  </si>
  <si>
    <t xml:space="preserve">Answers FAQs in the streamer’s tone (confirm)</t>
  </si>
  <si>
    <t xml:space="preserve">Questions answered by the bot</t>
  </si>
  <si>
    <t xml:space="preserve">GN-U2B</t>
  </si>
  <si>
    <t xml:space="preserve">GN-U3A</t>
  </si>
  <si>
    <t xml:space="preserve">Raid at 2 AM</t>
  </si>
  <si>
    <t xml:space="preserve">Grinder, Juggler</t>
  </si>
  <si>
    <t xml:space="preserve">6</t>
  </si>
  <si>
    <t xml:space="preserve">“Spam and hate raids hit when I’m alone.”</t>
  </si>
  <si>
    <t xml:space="preserve">Protection when no mod is online</t>
  </si>
  <si>
    <t xml:space="preserve">Filters spam, calm raid handling, logs for mods (confirm)</t>
  </si>
  <si>
    <t xml:space="preserve">Messages blocked, time to calm</t>
  </si>
  <si>
    <t xml:space="preserve">GN-U3B</t>
  </si>
  <si>
    <t xml:space="preserve">GN-U4A</t>
  </si>
  <si>
    <t xml:space="preserve">The 1:12 mystery</t>
  </si>
  <si>
    <t xml:space="preserve">9</t>
  </si>
  <si>
    <t xml:space="preserve">“Why did everyone leave at 1:12?”</t>
  </si>
  <si>
    <t xml:space="preserve">See the cause</t>
  </si>
  <si>
    <t xml:space="preserve">Retention report aligned with chat and stream (confirm)</t>
  </si>
  <si>
    <t xml:space="preserve">Insights (sub)</t>
  </si>
  <si>
    <t xml:space="preserve">The aligned graph</t>
  </si>
  <si>
    <t xml:space="preserve">GN-U4B</t>
  </si>
  <si>
    <t xml:space="preserve">GN-U5A</t>
  </si>
  <si>
    <t xml:space="preserve">4 hours → 4 clips</t>
  </si>
  <si>
    <t xml:space="preserve">Part-timer</t>
  </si>
  <si>
    <t xml:space="preserve">10</t>
  </si>
  <si>
    <t xml:space="preserve">“I’d have to rewatch 4 hours of VOD.”</t>
  </si>
  <si>
    <t xml:space="preserve">Best moments found for me</t>
  </si>
  <si>
    <t xml:space="preserve">Highlights from chat spikes (confirm)</t>
  </si>
  <si>
    <t xml:space="preserve">Minutes saved</t>
  </si>
  <si>
    <t xml:space="preserve">GN-U5B</t>
  </si>
  <si>
    <t xml:space="preserve">GN-U6A</t>
  </si>
  <si>
    <t xml:space="preserve">“What should I change?”</t>
  </si>
  <si>
    <t xml:space="preserve">Grinder, Pro</t>
  </si>
  <si>
    <t xml:space="preserve">12</t>
  </si>
  <si>
    <t xml:space="preserve">“Analytics pages are just numbers.”</t>
  </si>
  <si>
    <t xml:space="preserve">Answers, not charts</t>
  </si>
  <si>
    <t xml:space="preserve">Ask the analyst bot</t>
  </si>
  <si>
    <t xml:space="preserve">Next week vs this week</t>
  </si>
  <si>
    <t xml:space="preserve">GN-U6B</t>
  </si>
  <si>
    <t xml:space="preserve">GN-U7A</t>
  </si>
  <si>
    <t xml:space="preserve">The running joke</t>
  </si>
  <si>
    <t xml:space="preserve">All</t>
  </si>
  <si>
    <t xml:space="preserve">14</t>
  </si>
  <si>
    <t xml:space="preserve">“Every stream starts from zero.”</t>
  </si>
  <si>
    <t xml:space="preserve">Something that remembers</t>
  </si>
  <si>
    <t xml:space="preserve">Companion remembers regulars, jokes, milestones</t>
  </si>
  <si>
    <t xml:space="preserve">Companion (merged)</t>
  </si>
  <si>
    <t xml:space="preserve">Chat reaction</t>
  </si>
  <si>
    <t xml:space="preserve">GN-U7B</t>
  </si>
  <si>
    <t xml:space="preserve">GN-U8A</t>
  </si>
  <si>
    <t xml:space="preserve">Friday sponsor report</t>
  </si>
  <si>
    <t xml:space="preserve">Pro, Juggler</t>
  </si>
  <si>
    <t xml:space="preserve">13</t>
  </si>
  <si>
    <t xml:space="preserve">“A sponsor wants a report by Friday.”</t>
  </si>
  <si>
    <t xml:space="preserve">A report I can send</t>
  </si>
  <si>
    <t xml:space="preserve">Shareable report (confirm)</t>
  </si>
  <si>
    <t xml:space="preserve">Time from request to sent</t>
  </si>
  <si>
    <t xml:space="preserve">GN-U8B</t>
  </si>
  <si>
    <t xml:space="preserve">Section 3 · Brand · Master (one film, two versions)</t>
  </si>
  <si>
    <t xml:space="preserve">The whole ecosystem in one film: the companion is born (Live), remembers (Insights), grows (Companion). Built last, from the assets of sections 1 and 2. Waits for the final design and the product-structure decision.</t>
  </si>
  <si>
    <t xml:space="preserve">Sound</t>
  </si>
  <si>
    <t xml:space="preserve">Quality level</t>
  </si>
  <si>
    <t xml:space="preserve">MA-A</t>
  </si>
  <si>
    <t xml:space="preserve">Majestic technical: a new era, a second brain for every creator; scale from one desk to a planet of lit windows</t>
  </si>
  <si>
    <t xml:space="preserve">Instrumental score + statements / voice-over</t>
  </si>
  <si>
    <t xml:space="preserve">60–90 s</t>
  </si>
  <si>
    <t xml:space="preserve">16:9 hero + 9:16 cut</t>
  </si>
  <si>
    <t xml:space="preserve">Level 7–8 (depth)</t>
  </si>
  <si>
    <t xml:space="preserve">Five movements below</t>
  </si>
  <si>
    <t xml:space="preserve">MA-B</t>
  </si>
  <si>
    <t xml:space="preserve">Music video: one streamer, one companion, months of streams; the song carries the story</t>
  </si>
  <si>
    <t xml:space="preserve">Song (lyrics from the script)</t>
  </si>
  <si>
    <t xml:space="preserve">Level 6–8 (mixed)</t>
  </si>
  <si>
    <t xml:space="preserve">Same beats, different sound and pace</t>
  </si>
  <si>
    <t xml:space="preserve">Movement breakdown (draft for discussion)</t>
  </si>
  <si>
    <t xml:space="preserve">#</t>
  </si>
  <si>
    <t xml:space="preserve">Movement</t>
  </si>
  <si>
    <t xml:space="preserve">Picture</t>
  </si>
  <si>
    <t xml:space="preserve">A · statement (draft)</t>
  </si>
  <si>
    <t xml:space="preserve">B · lyric idea</t>
  </si>
  <si>
    <t xml:space="preserve">Pain / layer shown</t>
  </si>
  <si>
    <t xml:space="preserve">Key assets</t>
  </si>
  <si>
    <t xml:space="preserve">Status</t>
  </si>
  <si>
    <t xml:space="preserve">Alone</t>
  </si>
  <si>
    <t xml:space="preserve">One streamer, one screen in the dark; pull back through the window to a city, then a planet of lit windows</t>
  </si>
  <si>
    <t xml:space="preserve">“Every night, millions create alone.”</t>
  </si>
  <si>
    <t xml:space="preserve">The empty chat, the quiet room</t>
  </si>
  <si>
    <t xml:space="preserve">Pains 1, 8</t>
  </si>
  <si>
    <t xml:space="preserve">Streamer room, planet of windows</t>
  </si>
  <si>
    <t xml:space="preserve">The spark</t>
  </si>
  <si>
    <t xml:space="preserve">One window turns warm: the companion is born, free and open</t>
  </si>
  <si>
    <t xml:space="preserve">“Until now.”</t>
  </si>
  <si>
    <t xml:space="preserve">Hook: the first hello</t>
  </si>
  <si>
    <t xml:space="preserve">Companion stage 1</t>
  </si>
  <si>
    <t xml:space="preserve">The architecture</t>
  </si>
  <si>
    <t xml:space="preserve">Flythrough of the system: live chat → stream data → reports → memory</t>
  </si>
  <si>
    <t xml:space="preserve">“It listens. It learns. It remembers.”</t>
  </si>
  <si>
    <t xml:space="preserve">Verse: what it does for you</t>
  </si>
  <si>
    <t xml:space="preserve">Insights</t>
  </si>
  <si>
    <t xml:space="preserve">Exploded system view, UI stand-ins</t>
  </si>
  <si>
    <t xml:space="preserve">The second brain</t>
  </si>
  <si>
    <t xml:space="preserve">The memory ring grows into a constellation around the streamer</t>
  </si>
  <si>
    <t xml:space="preserve">“Not a tool. A second brain.”</t>
  </si>
  <si>
    <t xml:space="preserve">Bridge: it remembers your people</t>
  </si>
  <si>
    <t xml:space="preserve">Companion stages 2–3, constellation</t>
  </si>
  <si>
    <t xml:space="preserve">A new era</t>
  </si>
  <si>
    <t xml:space="preserve">Window after window lights warm; the logo</t>
  </si>
  <si>
    <t xml:space="preserve">“A companion for every creator.”</t>
  </si>
  <si>
    <t xml:space="preserve">Final chorus + sonic logo</t>
  </si>
  <si>
    <t xml:space="preserve">End card, sonic logo</t>
  </si>
  <si>
    <t xml:space="preserve">Story &amp; Song · storyline, Suno prompt and lyrics per film</t>
  </si>
  <si>
    <t xml:space="preserve">Paste 'Suno · Style' into Style of Music, 'Suno · Exclude' into Exclude, 'Lyrics' into Lyrics (Custom mode, v5.5, Duration slider = Length). Every film is at least 45 s. Guide: docs/SUNO_GUIDE.md</t>
  </si>
  <si>
    <t xml:space="preserve">Title</t>
  </si>
  <si>
    <t xml:space="preserve">BPM</t>
  </si>
  <si>
    <t xml:space="preserve">Storyline (what the viewer sees)</t>
  </si>
  <si>
    <t xml:space="preserve">Suno · Style</t>
  </si>
  <si>
    <t xml:space="preserve">Suno · Exclude</t>
  </si>
  <si>
    <t xml:space="preserve">Lyrics (with Suno tags) / statements</t>
  </si>
  <si>
    <t xml:space="preserve">Song status</t>
  </si>
  <si>
    <t xml:space="preserve">The train ride</t>
  </si>
  <si>
    <t xml:space="preserve">MV</t>
  </si>
  <si>
    <t xml:space="preserve">58.3 s song (≈61 s film)</t>
  </si>
  <si>
    <t xml:space="preserve">0:00–0:03 “Based on a true story” over a slow push into the pixel city at dusk (out on the beat). A desk-bound game streamer takes the stream on a Christmas tour of their city: market lights, a castle, a lit carousel. Viewer counter climbs to 3. At the station they are about to end the stream; chat: 'wait, I've never been on a train'. Hero shot: through the window the city falls away into open farmland, fast. The signal bars drop, freeze, black. The chat fills the frame: 'thanks for being so chill. amazing stream'. Halftone burst: 3 VIEWERS. ENOUGH. Pull back over the fields and the globe to one lit window on the other side of the world; a small spark by the message (companion cameo). Line: They kept streaming IRL. End card + credit: Story shared by a streamer on Reddit.</t>
  </si>
  <si>
    <t xml:space="preserve">catchy upbeat indie pop, warm and hopeful, glockenspiel hook from the first second, train-rhythm drums with handclaps, bright felt piano, clear warm vocal up front, singalong chorus, crisp modern production, 120 BPM</t>
  </si>
  <si>
    <t xml:space="preserve">heavy reverb, autotune, rap verses, spoken word intro, long instrumental intro</t>
  </si>
  <si>
    <t xml:space="preserve">[Intro: 2 bars, glockenspiel hook, train-rhythm drums]
[Verse: soft vocal]
Took the stream out for Christmas in town
Market lights, a castle, a carousel
Three people watching, that's my crowd
Talking to the street out loud
Train to catch, I'll say goodbye
"Wait, I've never been on a train"
[Pre-Chorus: rising]
"Can you keep it on?"
[Break]
[Chorus: catchy singalong, full drums, glockenspiel hook]
Keep it on, keep it on, till the signal's gone
You watched the city turn to fields
Your first train, it moved so fast
Keep it on, keep it on, till the signal's gone
Said it was amazing, from the other side of the world
[Outro: soft, glockenspiel hook returns]
Like showing a visitor my town
I saw it like a tourist too
That's why it's worth it
[End]</t>
  </si>
  <si>
    <t xml:space="preserve">Song approved 2026-10-04: Suno take + 2-bar intro spliced from its own hook; lines 9–10 sung slightly differently, subtitles show the written lyric. APPROVED. v0.6 catchier (hook from second 0, repeated chorus line from the story). v0.5 (full picture: comments + later posts checked). v0.4: every line checked against the full post. Script: docs/scripts/ST-01_train-ride.md</t>
  </si>
  <si>
    <t xml:space="preserve">The raid from the hero</t>
  </si>
  <si>
    <t xml:space="preserve">0:00–0:03 “Based on a true story” over the voxel room in the dark (out on the beat). Then: Voxel diorama: 2020, a YouTube video on an old monitor shows a speedrunner in a cowboy hat (voxel, no face). The viewer makes a Twitch account that night and starts streaming retro games. CRT look: Ninja Gaiden-style pixel action, chasing a personal best, counter at 4 viewers. LED dot-matrix alert: RAID · 450. It is the same speedrunner. The chat floods (kinetic type), stained-glass burst on the chorus, voxel room fills with lights. End card + credit: Story shared by a streamer on Reddit.</t>
  </si>
  <si>
    <t xml:space="preserve">chiptune pop-punk, triumphant and fast, 8-bit synth leads with live drums and driving bass, bright clear vocal, punchy modern production, 140 BPM</t>
  </si>
  <si>
    <t xml:space="preserve">[Intro: 2 bars, instrumental, 8-bit lead]
[Verse]
Twenty-twenty, found a video
Cowboy hat and a speedrun
Made an account that very night
Started streaming the old games
[Pre-Chorus: building]
Four people watching, chasing my best
[Break]
[Chorus: full band, shout-along]
Then the raid came in, it was him
Four hundred fifty people in
The one who started all of this
Look who's watching now
[Outro]
Look who's watching now
[End]</t>
  </si>
  <si>
    <t xml:space="preserve">Full picture checked (75 comments): arc complete, no follow-ups; raid was 450 viewers while chasing a PB with 4. Never name the speedrunner. Not yet approved.</t>
  </si>
  <si>
    <t xml:space="preserve">(pick from the Story Fisher shortlist)</t>
  </si>
  <si>
    <t xml:space="preserve">Opens with “Based on a true story” (1.5 bars, 2.5–3 s, over the first shot). Rest written after the story is chosen.</t>
  </si>
  <si>
    <t xml:space="preserve">[Intro: 2 bars, instrumental] …</t>
  </si>
  <si>
    <t xml:space="preserve">Written after the story is chosen</t>
  </si>
  <si>
    <t xml:space="preserve">A · majestic technical (instrumental)</t>
  </si>
  <si>
    <t xml:space="preserve">A single 'hi' as a point of light drifting into a vast dark space of chat; it fades, unseen. The companion's spark rises, catches it, and the reply lights a path. More hellos arrive; each is caught. They form a constellation of welcomed names.</t>
  </si>
  <si>
    <t xml:space="preserve">cinematic orchestral electronic, majestic and hopeful, felt piano motif, warm strings, deep sub swells, pristine production, 90 BPM</t>
  </si>
  <si>
    <t xml:space="preserve">vocals, choir words, EDM drop, dubstep, long fade-out</t>
  </si>
  <si>
    <t xml:space="preserve">Instrumental ON. Lyrics field (structure only):
[Intro: solo motif]
[Build: layers enter]
[Swell]
[Climax: full]
[Outro: motif returns]
[End]
On-screen statements (not sung):
Every hello matters.
Most go unanswered.
Not anymore.
Chobbot greets every first-time chatter. (confirm)</t>
  </si>
  <si>
    <t xml:space="preserve">Statements shown as text, timed to the swells</t>
  </si>
  <si>
    <t xml:space="preserve">B · music video (song)</t>
  </si>
  <si>
    <t xml:space="preserve">Pixel streamer mid boss fight. A new name types 'hi'; it scrolls away unseen, a timer counts 0:01…0:40, the name leaves. Rewind on the break: same moment with the companion. The spark answers 'hey Sam, first time? welcome in' and flags the streamer, who waves. A week later Sam types 'back again'; the bot: 'welcome back, Sam'.</t>
  </si>
  <si>
    <t xml:space="preserve">upbeat synth-pop, playful and bright, plucky synths and handclaps, punchy drums, clear bright vocal, clean modern production, 124 BPM</t>
  </si>
  <si>
    <t xml:space="preserve">[Intro: plucky synth]
[Verse]
Boss fight, eyes on the screen
Someone typed hi in between
Scrolled away, nobody saw
Forty seconds, then they're gone
[Pre-Chorus: half-spoken]
What if someone said hi back
[Break]
[Chorus: full]
Hey, welcome in, first time here?
Somebody answered, loud and clear
Nobody slips through the chat
A week later, Sam comes back
[Outro]
Welcome back
[End]</t>
  </si>
  <si>
    <t xml:space="preserve">Lyrics appear as on-screen text; nobody sings on screen</t>
  </si>
  <si>
    <t xml:space="preserve">Identical questions fall as glyphs and form a storm. The companion turns the storm into one ordered column of answers, and the space goes quiet and clear around a single focused point of play.</t>
  </si>
  <si>
    <t xml:space="preserve">cinematic minimal electronic, focused and precise, pulsing arpeggio, glassy pads, ticking percussion, clean build, 100 BPM</t>
  </si>
  <si>
    <t xml:space="preserve">Instrumental ON. Lyrics field (structure only):
[Intro: solo motif]
[Build: layers enter]
[Swell]
[Climax: full]
[Outro: motif returns]
[End]
On-screen statements (not sung):
The same question. Forty times.
Answered once. Remembered.
Your focus stays on the game. (confirm)</t>
  </si>
  <si>
    <t xml:space="preserve">The same question pours in as pixel cards that stack up on the desk. The streamer turns to answer and dies in game. Rewind: the companion answers each card instantly; the cards fold into one neat FAQ stack; the streamer clutches the round.</t>
  </si>
  <si>
    <t xml:space="preserve">funky electro-pop, cheeky and energetic, slap bass and chopped synth hooks, crisp drums, bright clear vocal, tight production, 118 BPM</t>
  </si>
  <si>
    <t xml:space="preserve">[Intro: slap bass]
[Verse]
What's your rank, what's your rig
What's the song, what's your sens
Fortieth time tonight
Turn to answer, lose the fight
[Pre-Chorus]
Same question, again, again
[Break]
[Chorus: full]
Let the bot take that one
Answer once and it's done
Eyes on the game, clutch the round
Chat still heard, every sound
[Outro]
Clutch the round
[End]</t>
  </si>
  <si>
    <t xml:space="preserve">A storm of red particles crashes against a small sphere of light around a lone desk at night. The companion's shield lights up cell by cell; the storm breaks around it and passes. Dawn rises over a calm city.</t>
  </si>
  <si>
    <t xml:space="preserve">dark cinematic hybrid orchestral, tense then triumphant, low brass and taiko pulses, rising strings, resolves to bright major, 95 BPM</t>
  </si>
  <si>
    <t xml:space="preserve">Instrumental ON. Lyrics field (structure only):
[Intro: solo motif]
[Build: layers enter]
[Swell]
[Climax: full]
[Outro: motif returns]
[End]
On-screen statements (not sung):
Raids come at 2 AM.
No mod online.
Protection that stays on. (confirm)</t>
  </si>
  <si>
    <t xml:space="preserve">Night stream, mods asleep. Red spam floods the chat; on every snare it cracks the monitor glass (glitch). The streamer freezes. Break. The companion's shield: the noise is filtered in a second and dissolves; calm returns; in the morning a clean log waits for the mods.</t>
  </si>
  <si>
    <t xml:space="preserve">dark synthwave turning bright, tense then relieved, distorted bass and gated snare, opening into warm major chords, clear vocal, 128 BPM</t>
  </si>
  <si>
    <t xml:space="preserve">[Intro: low pulse]
[Verse: tense]
Two a.m., the mods asleep
Chat goes red, a hundred deep
Same words, a hundred names
Hands off the keys, I freeze
[Pre-Chorus: whispered]
Who's on watch at two a.m.
[Break]
[Chorus: bright, major]
Filtered in a second flat
Calm comes back into the chat
Logged it all for the morning crew
Stream goes on, we got you
[Outro]
Stream goes on
[End]</t>
  </si>
  <si>
    <t xml:space="preserve">The viewer curve as a vast terrain seen from above at night. The camera glides to a canyon at 1:12. A scanning light from the report sweeps the canyon and reveals what lies beneath: the moment that caused it.</t>
  </si>
  <si>
    <t xml:space="preserve">cinematic ambient electronic, investigative then awe, deep pads and pulsing low synth, piano motif, rising build, 85 BPM</t>
  </si>
  <si>
    <t xml:space="preserve">Instrumental ON. Lyrics field (structure only):
[Intro: solo motif]
[Build: layers enter]
[Swell]
[Climax: full]
[Outro: motif returns]
[End]
On-screen statements (not sung):
Numbers say what. Not why.
Insights shows why. (confirm)
Every drop, explained.</t>
  </si>
  <si>
    <t xml:space="preserve">The viewer graph is a pixel mountain range; at 1:12 a cliff. The streamer stares, no idea why. The report overlays stream and chat on the graph: a nine-minute loading screen and a silent chat line up exactly with the drop. Next stream, the line holds.</t>
  </si>
  <si>
    <t xml:space="preserve">chill electronic pop, curious then confident, ticking hi-hats and warm bass, soft synth chords, clean bright vocal, 115 BPM</t>
  </si>
  <si>
    <t xml:space="preserve">[Intro: ticking hats]
[Verse]
One hour twelve, the line goes down
Half the room just left the town
Was it me, the game, the time
Scrolling numbers, no reply
[Pre-Chorus]
What happened at one twelve
[Break]
[Chorus: full]
Nine minutes of a loading screen
Chat went quiet in between
Now I see it, now I know
Next stream, the line holds
[Outro]
Now I know
[End]</t>
  </si>
  <si>
    <t xml:space="preserve">A river of footage flows through the dark. Four bright points rise out of it, slowly, and hang in the air as a small constellation: the four moments that matter.</t>
  </si>
  <si>
    <t xml:space="preserve">cinematic neo-classical electronic, calm and grand, felt piano and cello, shimmering arpeggios, slow swell, 80 BPM</t>
  </si>
  <si>
    <t xml:space="preserve">Instrumental ON. Lyrics field (structure only):
[Intro: solo motif]
[Build: layers enter]
[Swell]
[Climax: full]
[Outro: motif returns]
[End]
On-screen statements (not sung):
Four hours of stream.
Four moments that matter.
Found while you rest. (confirm)</t>
  </si>
  <si>
    <t xml:space="preserve">Midnight. The VOD timeline stretches like an endless road; the streamer scrubs, half asleep. The companion lifts four glowing moments out of the chat spikes; the clips are ready when the stream ends. Laptop closes. Sleep.</t>
  </si>
  <si>
    <t xml:space="preserve">dreamy bedroom pop, tired then relieved, lo-fi drums and warm Rhodes, soft clear vocal, gentle lift in the chorus, 110 BPM</t>
  </si>
  <si>
    <t xml:space="preserve">[Intro: warm Rhodes]
[Verse: sleepy]
Stream is over, midnight now
Four hours of footage, scrub it down
Where was the moment, where was the laugh
Rewind, rewind, half asleep
[Pre-Chorus]
There's got to be a faster way
[Break]
[Chorus: lift]
Chat spiked here, and here, and here
Four best moments, already clear
Clips are ready, go to sleep
The best of tonight is yours to keep
[Outro]
Go to sleep
[End]</t>
  </si>
  <si>
    <t xml:space="preserve">An ocean of data points. A single question rises from the streamer as a beam of light; the data reorganises around it into three clear paths.</t>
  </si>
  <si>
    <t xml:space="preserve">cinematic electronic, majestic and clear, evolving pads and piano, tight pulse, big resolving chord, 92 BPM</t>
  </si>
  <si>
    <t xml:space="preserve">Instrumental ON. Lyrics field (structure only):
[Intro: solo motif]
[Build: layers enter]
[Swell]
[Climax: full]
[Outro: motif returns]
[End]
On-screen statements (not sung):
You have the data.
Now ask it anything.
Answers, not charts.</t>
  </si>
  <si>
    <t xml:space="preserve">The streamer faces a wall of charts (data UI style); the numbers blur. They type a question to the analyst bot. Three plain answers appear as cards. Next week the graph climbs.</t>
  </si>
  <si>
    <t xml:space="preserve">upbeat indie electronic, curious then confident, bright synth plucks and tight drums, warm bass, clear vocal, 122 BPM</t>
  </si>
  <si>
    <t xml:space="preserve">[Intro: synth plucks]
[Verse]
Charts on charts, lines on lines
Followers, minutes, peaks and times
All these numbers, what do they mean
Staring at a glowing screen
[Pre-Chorus: spoken]
So what should I change?
[Break]
[Chorus: full]
Three things, plain and clear
Start at eight, your people are here
Shorter breaks, say hi by name
Next week, it's not the same
[Outro]
Ask me anything
[End]</t>
  </si>
  <si>
    <t xml:space="preserve">Months pass as seasons over a single lit window. Each stream leaves a point of light around the streamer; slowly they join into a constellation: the second brain.</t>
  </si>
  <si>
    <t xml:space="preserve">cinematic orchestral, emotional and majestic, piano motif and warm strings, choir pad, slow build to a glowing finale, 84 BPM</t>
  </si>
  <si>
    <t xml:space="preserve">Instrumental ON. Lyrics field (structure only):
[Intro: solo motif]
[Build: layers enter]
[Swell]
[Climax: full]
[Outro: motif returns]
[End]
On-screen statements (not sung):
Every stream starts from zero.
Unless something remembers.
A companion that grows with you.</t>
  </si>
  <si>
    <t xml:space="preserve">Anniversary stream. A regular types an inside joke from a year ago; the streamer has forgotten it. The companion recalls the moment and plays it back as a memory card; chat erupts. The memory ring around the companion glows with a year of moments.</t>
  </si>
  <si>
    <t xml:space="preserve">nostalgic indie pop, warm and joyful, jangly guitars and glockenspiel, handclaps, clear warm vocal, gang vocals in the chorus, 116 BPM</t>
  </si>
  <si>
    <t xml:space="preserve">[Intro: jangly guitar]
[Verse]
A year ago a joke was born
Chat still knows it, every one
I forgot, the nights move on
Every stream from zero again
[Pre-Chorus]
Who remembers when
[Break]
[Chorus: gang vocals]
It remembers every name
Every joke and every game
One year later, it's still here
Brings it back, the whole chat cheers
[Outro]
It remembers
[End]</t>
  </si>
  <si>
    <t xml:space="preserve">Scattered numbers swirl and condense into one elegant document of light, which folds into a paper plane and flies toward a bright horizon.</t>
  </si>
  <si>
    <t xml:space="preserve">cinematic modern orchestral, confident and elegant, staccato strings and piano, clean pulse, bright resolving finale, 96 BPM</t>
  </si>
  <si>
    <t xml:space="preserve">Instrumental ON. Lyrics field (structure only):
[Intro: solo motif]
[Build: layers enter]
[Swell]
[Climax: full]
[Outro: motif returns]
[End]
On-screen statements (not sung):
Sponsors want proof.
One report. Every number. (confirm)
Sent before the weekend.</t>
  </si>
  <si>
    <t xml:space="preserve">Friday: an email, 'report by Friday?'. The streamer is buried in a voxel tower of spreadsheets. The companion builds one clean report card; send. Weekend lights come on.</t>
  </si>
  <si>
    <t xml:space="preserve">funky disco-pop, stressed then celebratory, four-on-the-floor and funky guitar, brass stabs, clear vocal, 120 BPM</t>
  </si>
  <si>
    <t xml:space="preserve">[Intro: funky guitar]
[Verse]
Email says by Friday, please
Numbers from the last three weeks
Spreadsheet cells, copy, paste
Weekend going down the drain
[Pre-Chorus]
There goes Saturday
[Break]
[Chorus: full, brass]
One report, ready to send
Every number, start to end
Hit send, it's Friday night
Weekend's back, it's all right
[Outro]
Hit send
[End]</t>
  </si>
  <si>
    <t xml:space="preserve">Master · A new era</t>
  </si>
  <si>
    <t xml:space="preserve">75–90 s</t>
  </si>
  <si>
    <t xml:space="preserve">1 Alone: one streamer, one screen in the dark; pull back through the window to a city, then a planet of lit windows. 2 The spark: one window turns warm; the companion is born. 3 The architecture: flythrough of the system, live chat → stream data → reports → memory. 4 The second brain: the memory ring grows into a constellation around the streamer. 5 A new era: window after window lights warm; the logo.</t>
  </si>
  <si>
    <t xml:space="preserve">cinematic hybrid orchestral electronic, majestic and awe-inspiring, solo felt piano motif, expanding strings, deep sub and choir pad, builds to a vast final hit, pristine production, 90 BPM</t>
  </si>
  <si>
    <t xml:space="preserve">Instrumental ON. Lyrics field (structure only):
[Intro: solo felt piano]
[Build: strings enter, low pulse]
[Movement: arpeggios, rising]
[Swell: choir pad]
[Climax: full orchestra and synths]
[Outro: piano motif returns]
[End]
On-screen statements (not sung):
Every night, millions create alone.
Until now.
It listens. It learns. It remembers.
Not a tool. A second brain.
A companion for every creator.</t>
  </si>
  <si>
    <t xml:space="preserve">Five movements, statements timed to the swells</t>
  </si>
  <si>
    <t xml:space="preserve">Master · Never live alone</t>
  </si>
  <si>
    <t xml:space="preserve">Same five movements as A, told through one streamer over months: empty room → the first hello from the companion → after-stream reports → the memory ring growing with names and jokes → the city of warm windows. Mixed style deck, voxel/pixel streamer, kinetic lyrics.</t>
  </si>
  <si>
    <t xml:space="preserve">anthemic indie pop with cinematic strings, hopeful and uplifting, piano and pulsing synth bass, big drums in the chorus, clear emotive vocal, gang vocals in the final chorus, 118 BPM</t>
  </si>
  <si>
    <t xml:space="preserve">[Intro: piano]
[Verse 1]
Every night, another window glows
Someone streaming to an empty room
Says hello to no one there
Talks until the chat comes through
[Pre-Chorus]
Then a little light said hi
[Break]
[Chorus]
Never live alone
Somebody's there when you go on
Remembers every name
Grows with you, stream by stream
[Verse 2]
After the stream it counts the night
Finds the moments, shows you why
Months go by, the ring grows wide
Every story kept inside
[Final Chorus: gang vocals]
Never live alone
Somebody's there when you go on
Remembers every name
Grows with you, stream by stream
[Outro]
Never live alone
[End]</t>
  </si>
  <si>
    <t xml:space="preserve">'Never live alone' is a placeholder tagline until you decide</t>
  </si>
  <si>
    <t xml:space="preserve">Shared assets</t>
  </si>
  <si>
    <t xml:space="preserve">Built once, used by every section. Everything is code-rendered unless the source says otherwise.</t>
  </si>
  <si>
    <t xml:space="preserve">Asset</t>
  </si>
  <si>
    <t xml:space="preserve">Type</t>
  </si>
  <si>
    <t xml:space="preserve">Used by</t>
  </si>
  <si>
    <t xml:space="preserve">Source</t>
  </si>
  <si>
    <t xml:space="preserve">Depends on</t>
  </si>
  <si>
    <t xml:space="preserve">Due</t>
  </si>
  <si>
    <t xml:space="preserve">Brand palette tokens</t>
  </si>
  <si>
    <t xml:space="preserve">Brand</t>
  </si>
  <si>
    <t xml:space="preserve">Your web design → one palette file</t>
  </si>
  <si>
    <t xml:space="preserve">Web design</t>
  </si>
  <si>
    <t xml:space="preserve">Placeholder until the design lands</t>
  </si>
  <si>
    <t xml:space="preserve">Fonts (display + mono)</t>
  </si>
  <si>
    <t xml:space="preserve">Your web design</t>
  </si>
  <si>
    <t xml:space="preserve">Logo (SVG) + wordmark</t>
  </si>
  <si>
    <t xml:space="preserve">You</t>
  </si>
  <si>
    <t xml:space="preserve">End card</t>
  </si>
  <si>
    <t xml:space="preserve">Code</t>
  </si>
  <si>
    <t xml:space="preserve">Logo, palette</t>
  </si>
  <si>
    <t xml:space="preserve">Same in every video</t>
  </si>
  <si>
    <t xml:space="preserve">Sonic logo (2 s)</t>
  </si>
  <si>
    <t xml:space="preserve">Music partner / Suno</t>
  </si>
  <si>
    <t xml:space="preserve">Ends every video</t>
  </si>
  <si>
    <t xml:space="preserve">Companion · stage 1 (spark)</t>
  </si>
  <si>
    <t xml:space="preserve">Character</t>
  </si>
  <si>
    <t xml:space="preserve">Palette</t>
  </si>
  <si>
    <t xml:space="preserve">Live app</t>
  </si>
  <si>
    <t xml:space="preserve">Companion · stage 2 (memory ring)</t>
  </si>
  <si>
    <t xml:space="preserve">Generic, Master</t>
  </si>
  <si>
    <t xml:space="preserve">Stage 1</t>
  </si>
  <si>
    <t xml:space="preserve">Companion · stage 3 (full form)</t>
  </si>
  <si>
    <t xml:space="preserve">Stage 2</t>
  </si>
  <si>
    <t xml:space="preserve">Merged companion; mascot art if you have one</t>
  </si>
  <si>
    <t xml:space="preserve">Streamer (silhouette, hoodie, headset)</t>
  </si>
  <si>
    <t xml:space="preserve">No face, so anyone sees themselves</t>
  </si>
  <si>
    <t xml:space="preserve">Streamer as pixel / voxel sprite</t>
  </si>
  <si>
    <t xml:space="preserve">Stories, Generic B</t>
  </si>
  <si>
    <t xml:space="preserve">Code (32×32 or 64×64 sprite)</t>
  </si>
  <si>
    <t xml:space="preserve">No anime or cartoon humans (docs/STYLE_DECK.md)</t>
  </si>
  <si>
    <t xml:space="preserve">Style deck shaders (A-tier styles)</t>
  </si>
  <si>
    <t xml:space="preserve">Look</t>
  </si>
  <si>
    <t xml:space="preserve">Code, one file per style</t>
  </si>
  <si>
    <t xml:space="preserve">Built once, reused by every film; see the Style Library tab</t>
  </si>
  <si>
    <t xml:space="preserve">Set · streamer’s room</t>
  </si>
  <si>
    <t xml:space="preserve">Set</t>
  </si>
  <si>
    <t xml:space="preserve">Generic B, Master</t>
  </si>
  <si>
    <t xml:space="preserve">Monitor light, window god rays</t>
  </si>
  <si>
    <t xml:space="preserve">Set · planet / city of windows</t>
  </si>
  <si>
    <t xml:space="preserve">Generic A, Master A</t>
  </si>
  <si>
    <t xml:space="preserve">Hero shot</t>
  </si>
  <si>
    <t xml:space="preserve">Exploded system view</t>
  </si>
  <si>
    <t xml:space="preserve">Product structure</t>
  </si>
  <si>
    <t xml:space="preserve">Live → data → Insights → memory</t>
  </si>
  <si>
    <t xml:space="preserve">Chat UI (generic, ours)</t>
  </si>
  <si>
    <t xml:space="preserve">UI</t>
  </si>
  <si>
    <t xml:space="preserve">Never a real platform’s UI</t>
  </si>
  <si>
    <t xml:space="preserve">Product UI screens</t>
  </si>
  <si>
    <t xml:space="preserve">Your web design (stand-ins until then)</t>
  </si>
  <si>
    <t xml:space="preserve">Story Fisher (n8n)</t>
  </si>
  <si>
    <t xml:space="preserve">Pipeline</t>
  </si>
  <si>
    <t xml:space="preserve">Stories</t>
  </si>
  <si>
    <t xml:space="preserve">n8n workflow JuU4QgIrT1o10zO1</t>
  </si>
  <si>
    <t xml:space="preserve">Brave + PullPush + DeepSeek</t>
  </si>
  <si>
    <t xml:space="preserve">Built; queries being tuned</t>
  </si>
  <si>
    <t xml:space="preserve">Songs (one per film)</t>
  </si>
  <si>
    <t xml:space="preserve">Stories, Generic B, Master B</t>
  </si>
  <si>
    <t xml:space="preserve">You (Suno / partner)</t>
  </si>
  <si>
    <t xml:space="preserve">Approved script</t>
  </si>
  <si>
    <t xml:space="preserve">Written to the approved script</t>
  </si>
  <si>
    <t xml:space="preserve">Scores (A versions)</t>
  </si>
  <si>
    <t xml:space="preserve">Instrumental</t>
  </si>
  <si>
    <t xml:space="preserve">Voice-over (optional)</t>
  </si>
  <si>
    <t xml:space="preserve">TBD</t>
  </si>
  <si>
    <t xml:space="preserve">Disclose if AI voice</t>
  </si>
  <si>
    <t xml:space="preserve">Proof: beta user numbers + quotes</t>
  </si>
  <si>
    <t xml:space="preserve">Proof</t>
  </si>
  <si>
    <t xml:space="preserve">Generic</t>
  </si>
  <si>
    <t xml:space="preserve">Beta users</t>
  </si>
  <si>
    <t xml:space="preserve">No invented numbers</t>
  </si>
  <si>
    <t xml:space="preserve">Style library · what we render well</t>
  </si>
  <si>
    <t xml:space="preserve">Every film mixes styles: one home style + 3–5 switch styles from tier A, switching on the music. No anime/cartoon humans. Rules: docs/STYLE_DECK.md</t>
  </si>
  <si>
    <t xml:space="preserve">Style</t>
  </si>
  <si>
    <t xml:space="preserve">Tier</t>
  </si>
  <si>
    <t xml:space="preserve">Best for</t>
  </si>
  <si>
    <t xml:space="preserve">Characters in it</t>
  </si>
  <si>
    <t xml:space="preserve">Hold length</t>
  </si>
  <si>
    <t xml:space="preserve">Built?</t>
  </si>
  <si>
    <t xml:space="preserve">Pixel art</t>
  </si>
  <si>
    <t xml:space="preserve">A · use freely</t>
  </si>
  <si>
    <t xml:space="preserve">Home style for stories; the streamer and chat</t>
  </si>
  <si>
    <t xml:space="preserve">Pixel sprites, mascot</t>
  </si>
  <si>
    <t xml:space="preserve">Any</t>
  </si>
  <si>
    <t xml:space="preserve">Proven on the Venmar × Quest film</t>
  </si>
  <si>
    <t xml:space="preserve">Voxel diorama</t>
  </si>
  <si>
    <t xml:space="preserve">Home style; rooms and cities as toys</t>
  </si>
  <si>
    <t xml:space="preserve">Voxel sprites, mascot</t>
  </si>
  <si>
    <t xml:space="preserve">Proven: voxel rig + move library exist</t>
  </si>
  <si>
    <t xml:space="preserve">CRT / VHS / glitch</t>
  </si>
  <si>
    <t xml:space="preserve">Pain moments, flashbacks, the 'cold' look</t>
  </si>
  <si>
    <t xml:space="preserve">Any (it filters the frame)</t>
  </si>
  <si>
    <t xml:space="preserve">1–4 bars</t>
  </si>
  <si>
    <t xml:space="preserve">LED dot-matrix</t>
  </si>
  <si>
    <t xml:space="preserve">Hooks, numbers, chat messages</t>
  </si>
  <si>
    <t xml:space="preserve">Mascot, text</t>
  </si>
  <si>
    <t xml:space="preserve">Beats–2 bars</t>
  </si>
  <si>
    <t xml:space="preserve">Terminal / ASCII</t>
  </si>
  <si>
    <t xml:space="preserve">The bot's point of view, data</t>
  </si>
  <si>
    <t xml:space="preserve">Text, mascot</t>
  </si>
  <si>
    <t xml:space="preserve">1–2 bars</t>
  </si>
  <si>
    <t xml:space="preserve">Blueprint / technical drawing</t>
  </si>
  <si>
    <t xml:space="preserve">How it works; Generic A, Master A</t>
  </si>
  <si>
    <t xml:space="preserve">Silhouettes, mascot</t>
  </si>
  <si>
    <t xml:space="preserve">2–8 bars</t>
  </si>
  <si>
    <t xml:space="preserve">Engraving / line hatching</t>
  </si>
  <si>
    <t xml:space="preserve">Sad or serious stories; majestic A versions</t>
  </si>
  <si>
    <t xml:space="preserve">Silhouettes</t>
  </si>
  <si>
    <t xml:space="preserve">pdoom's strongest look</t>
  </si>
  <si>
    <t xml:space="preserve">Oscilloscope / vector glow</t>
  </si>
  <si>
    <t xml:space="preserve">Music-reactive moments, the voice</t>
  </si>
  <si>
    <t xml:space="preserve">Lines, mascot</t>
  </si>
  <si>
    <t xml:space="preserve">Newspaper halftone</t>
  </si>
  <si>
    <t xml:space="preserve">Headlines, big moments ('RAIDED!')</t>
  </si>
  <si>
    <t xml:space="preserve">Silhouettes, text</t>
  </si>
  <si>
    <t xml:space="preserve">Papercut (flat layers)</t>
  </si>
  <si>
    <t xml:space="preserve">Wholesome stories, warm scenes</t>
  </si>
  <si>
    <t xml:space="preserve">Simple shapes, mascot</t>
  </si>
  <si>
    <t xml:space="preserve">2–4 bars</t>
  </si>
  <si>
    <t xml:space="preserve">Stained glass</t>
  </si>
  <si>
    <t xml:space="preserve">Triumphant moments</t>
  </si>
  <si>
    <t xml:space="preserve">Neon line</t>
  </si>
  <si>
    <t xml:space="preserve">Night streams, energy</t>
  </si>
  <si>
    <t xml:space="preserve">Thermal camera</t>
  </si>
  <si>
    <t xml:space="preserve">Tension, the 'who is watching' feeling</t>
  </si>
  <si>
    <t xml:space="preserve">1 bar</t>
  </si>
  <si>
    <t xml:space="preserve">Data / UI / charts</t>
  </si>
  <si>
    <t xml:space="preserve">Insights, reports, Generic films</t>
  </si>
  <si>
    <t xml:space="preserve">None</t>
  </si>
  <si>
    <t xml:space="preserve">Real UI once the design lands</t>
  </si>
  <si>
    <t xml:space="preserve">Kinetic typography</t>
  </si>
  <si>
    <t xml:space="preserve">Lyrics, statements, hooks</t>
  </si>
  <si>
    <t xml:space="preserve">Text</t>
  </si>
  <si>
    <t xml:space="preserve">Always on top of the other styles</t>
  </si>
  <si>
    <t xml:space="preserve">Particles / constellations</t>
  </si>
  <si>
    <t xml:space="preserve">Memory, the second brain, the drop</t>
  </si>
  <si>
    <t xml:space="preserve">Mascot</t>
  </si>
  <si>
    <t xml:space="preserve">Abstract raymarched objects</t>
  </si>
  <si>
    <t xml:space="preserve">Majestic A versions, hero shots</t>
  </si>
  <si>
    <t xml:space="preserve">None (objects only)</t>
  </si>
  <si>
    <t xml:space="preserve">4–16 bars</t>
  </si>
  <si>
    <t xml:space="preserve">GPU-heavy at 4K</t>
  </si>
  <si>
    <t xml:space="preserve">Ukiyo-e waves / patterns</t>
  </si>
  <si>
    <t xml:space="preserve">B · short holds / backgrounds</t>
  </si>
  <si>
    <t xml:space="preserve">Backgrounds, transitions</t>
  </si>
  <si>
    <t xml:space="preserve">No figures</t>
  </si>
  <si>
    <t xml:space="preserve">≤ 1 bar</t>
  </si>
  <si>
    <t xml:space="preserve">Ink wash (abstract)</t>
  </si>
  <si>
    <t xml:space="preserve">Transitions, emotion beats</t>
  </si>
  <si>
    <t xml:space="preserve">Watercolor washes</t>
  </si>
  <si>
    <t xml:space="preserve">Soft backgrounds</t>
  </si>
  <si>
    <t xml:space="preserve">≤ 2 bars</t>
  </si>
  <si>
    <t xml:space="preserve">Crayon texture</t>
  </si>
  <si>
    <t xml:space="preserve">A 'drawn by a kid' flash</t>
  </si>
  <si>
    <t xml:space="preserve">Simple shapes only</t>
  </si>
  <si>
    <t xml:space="preserve">Isometric rooms</t>
  </si>
  <si>
    <t xml:space="preserve">Establishing shots</t>
  </si>
  <si>
    <t xml:space="preserve">Pixel/voxel only</t>
  </si>
  <si>
    <t xml:space="preserve">Anime / cartoon humans</t>
  </si>
  <si>
    <t xml:space="preserve">C · avoid</t>
  </si>
  <si>
    <t xml:space="preserve">—</t>
  </si>
  <si>
    <t xml:space="preserve">Four attempts failed on the Venmar branch</t>
  </si>
  <si>
    <t xml:space="preserve">Realistic faces / photoreal people</t>
  </si>
  <si>
    <t xml:space="preserve">Reads as AI-made</t>
  </si>
  <si>
    <t xml:space="preserve">Effort levels · what each level costs</t>
  </si>
  <si>
    <t xml:space="preserve">Owner rule: level 6 is the minimum for every film. Levels from the medium-lens-film skill (07_quality_levels.md); hours are Opus agent-hours, estimates until ST-01 is calibrated. Blue cells are inputs.</t>
  </si>
  <si>
    <t xml:space="preserve">Level</t>
  </si>
  <si>
    <t xml:space="preserve">Name</t>
  </si>
  <si>
    <t xml:space="preserve">Looks like</t>
  </si>
  <si>
    <t xml:space="preserve">Rendering added at this level</t>
  </si>
  <si>
    <t xml:space="preserve">Agent-hours</t>
  </si>
  <si>
    <t xml:space="preserve">Final render (GPU)</t>
  </si>
  <si>
    <t xml:space="preserve">D</t>
  </si>
  <si>
    <t xml:space="preserve">Clean synced motion graphics, one look</t>
  </si>
  <si>
    <t xml:space="preserve">Bloom, grain, flash/shake on hits, word-synced type</t>
  </si>
  <si>
    <t xml:space="preserve">3–4</t>
  </si>
  <si>
    <t xml:space="preserve">Minutes (1080p)</t>
  </si>
  <si>
    <t xml:space="preserve">C</t>
  </si>
  <si>
    <t xml:space="preserve">Simple 3D lit properly</t>
  </si>
  <si>
    <t xml:space="preserve">Soft shadows, ambient occlusion, real materials, depth of field</t>
  </si>
  <si>
    <t xml:space="preserve">4–5</t>
  </si>
  <si>
    <t xml:space="preserve">Low</t>
  </si>
  <si>
    <t xml:space="preserve">C+</t>
  </si>
  <si>
    <t xml:space="preserve">+ atmosphere</t>
  </si>
  <si>
    <t xml:space="preserve">Fog, god rays, rain on glass, wet reflections, secondary motion</t>
  </si>
  <si>
    <t xml:space="preserve">5–6</t>
  </si>
  <si>
    <t xml:space="preserve">Low–medium</t>
  </si>
  <si>
    <t xml:space="preserve">Studio ad; mixed style deck</t>
  </si>
  <si>
    <t xml:space="preserve">Bounce light, PBR bloom, flares, lens dirt; 3–5 switch styles + material transitions</t>
  </si>
  <si>
    <t xml:space="preserve">6–7</t>
  </si>
  <si>
    <t xml:space="preserve">Medium</t>
  </si>
  <si>
    <t xml:space="preserve">B+</t>
  </si>
  <si>
    <t xml:space="preserve">Dressed sets</t>
  </si>
  <si>
    <t xml:space="preserve">2 fully dressed environments, lit particles, mosaic of styles</t>
  </si>
  <si>
    <t xml:space="preserve">7–8</t>
  </si>
  <si>
    <t xml:space="preserve">Cinematic</t>
  </si>
  <si>
    <t xml:space="preserve">Volumetric sky/light, 60 fps adaptive motion blur, 1 hero shot</t>
  </si>
  <si>
    <t xml:space="preserve">8–10</t>
  </si>
  <si>
    <t xml:space="preserve">Medium–high</t>
  </si>
  <si>
    <t xml:space="preserve">A+</t>
  </si>
  <si>
    <t xml:space="preserve">Feels shot on film</t>
  </si>
  <si>
    <t xml:space="preserve">Film grain, halation, gate weave, grade per shot</t>
  </si>
  <si>
    <t xml:space="preserve">10–11</t>
  </si>
  <si>
    <t xml:space="preserve">High</t>
  </si>
  <si>
    <t xml:space="preserve">S</t>
  </si>
  <si>
    <t xml:space="preserve">Directed</t>
  </si>
  <si>
    <t xml:space="preserve">Camera choreography per shot, a material transition on every cut, nested pull-back ending</t>
  </si>
  <si>
    <t xml:space="preserve">11–13</t>
  </si>
  <si>
    <t xml:space="preserve">S+</t>
  </si>
  <si>
    <t xml:space="preserve">Simulation</t>
  </si>
  <si>
    <t xml:space="preserve">Cloth, smoke/ink, voxel destruction, crowds of chat bubbles, sound design</t>
  </si>
  <si>
    <t xml:space="preserve">13–14</t>
  </si>
  <si>
    <t xml:space="preserve">Very high</t>
  </si>
  <si>
    <t xml:space="preserve">S++</t>
  </si>
  <si>
    <t xml:space="preserve">《光先到》 / pdoom 4K</t>
  </si>
  <si>
    <t xml:space="preserve">Every shot a hero shot, 4K60 path-traced look</t>
  </si>
  <si>
    <t xml:space="preserve">14–16</t>
  </si>
  <si>
    <t xml:space="preserve">Very high (20–60+ GPU-h)</t>
  </si>
  <si>
    <t xml:space="preserve">Plan rates (% of a weekly allowance per agent-hour, incl. +30% rework; replace with your own after calibration)</t>
  </si>
  <si>
    <t xml:space="preserve">Pro</t>
  </si>
  <si>
    <t xml:space="preserve">Max 5×</t>
  </si>
  <si>
    <t xml:space="preserve">Max 20×</t>
  </si>
  <si>
    <t xml:space="preserve">Source: medium-lens-film skill, references/07_quality_levels.md (branch claude/zealous-newton-7zpeja). Estimates, not measurements.</t>
  </si>
  <si>
    <t xml:space="preserve">Effort by film (first wave)</t>
  </si>
  <si>
    <t xml:space="preserve">Film(s)</t>
  </si>
  <si>
    <t xml:space="preserve">Count</t>
  </si>
  <si>
    <t xml:space="preserve">Hours each</t>
  </si>
  <si>
    <t xml:space="preserve">Hours total</t>
  </si>
  <si>
    <t xml:space="preserve">Pro weeks</t>
  </si>
  <si>
    <t xml:space="preserve">Max 5× weeks</t>
  </si>
  <si>
    <t xml:space="preserve">Max 20× weeks</t>
  </si>
  <si>
    <t xml:space="preserve">Why this level</t>
  </si>
  <si>
    <t xml:space="preserve">ST-01 (first story)</t>
  </si>
  <si>
    <t xml:space="preserve">6 · A mixed</t>
  </si>
  <si>
    <t xml:space="preserve">Builds the deck shaders, pixel/voxel streamer, kinetic type, volumetrics and motion blur</t>
  </si>
  <si>
    <t xml:space="preserve">ST-02 … ST-08</t>
  </si>
  <si>
    <t xml:space="preserve">Reuses the deck shaders; new story, sets, hero shot, song timing</t>
  </si>
  <si>
    <t xml:space="preserve">GN-U1A (first A)</t>
  </si>
  <si>
    <t xml:space="preserve">6 · A depth</t>
  </si>
  <si>
    <t xml:space="preserve">Builds the majestic sets: system view, constellations, sky</t>
  </si>
  <si>
    <t xml:space="preserve">GN-U2A … U8A</t>
  </si>
  <si>
    <t xml:space="preserve">Reuses the A sets; new use case</t>
  </si>
  <si>
    <t xml:space="preserve">GN-U1B (first B)</t>
  </si>
  <si>
    <t xml:space="preserve">Builds the streamer room in pixel/voxel at level 6</t>
  </si>
  <si>
    <t xml:space="preserve">GN-U2B … U8B</t>
  </si>
  <si>
    <t xml:space="preserve">Reuses the room and the deck</t>
  </si>
  <si>
    <t xml:space="preserve">8 · S depth</t>
  </si>
  <si>
    <t xml:space="preserve">The hero film: camera choreography, nested pull-back</t>
  </si>
  <si>
    <t xml:space="preserve">7 · A+ mixed</t>
  </si>
  <si>
    <t xml:space="preserve">Same beats as A, reuses its assets</t>
  </si>
  <si>
    <t xml:space="preserve">Total</t>
  </si>
  <si>
    <t xml:space="preserve">Weeks = weekly allowances used (1.0 = one full week of that plan). Calibrate on ST-01: note the usage bar before and after, then replace the rates above.</t>
  </si>
</sst>
</file>

<file path=xl/styles.xml><?xml version="1.0" encoding="utf-8"?>
<styleSheet xmlns="http://schemas.openxmlformats.org/spreadsheetml/2006/main">
  <numFmts count="3">
    <numFmt numFmtId="164" formatCode="General"/>
    <numFmt numFmtId="165" formatCode="0.00%"/>
    <numFmt numFmtId="166" formatCode="0.0"/>
  </numFmts>
  <fonts count="15">
    <font>
      <sz val="11"/>
      <color theme="1"/>
      <name val="Calibri"/>
      <family val="2"/>
      <charset val="1"/>
    </font>
    <font>
      <sz val="10"/>
      <name val="Arial"/>
      <family val="0"/>
    </font>
    <font>
      <sz val="10"/>
      <name val="Arial"/>
      <family val="0"/>
    </font>
    <font>
      <sz val="10"/>
      <name val="Arial"/>
      <family val="0"/>
    </font>
    <font>
      <b val="true"/>
      <sz val="16"/>
      <color rgb="FF1F2430"/>
      <name val="Arial"/>
      <family val="0"/>
      <charset val="1"/>
    </font>
    <font>
      <i val="true"/>
      <sz val="10"/>
      <color rgb="FF5B6170"/>
      <name val="Arial"/>
      <family val="0"/>
      <charset val="1"/>
    </font>
    <font>
      <b val="true"/>
      <sz val="12"/>
      <color rgb="FF1F2430"/>
      <name val="Arial"/>
      <family val="0"/>
      <charset val="1"/>
    </font>
    <font>
      <b val="true"/>
      <sz val="10"/>
      <color rgb="FFFFFFFF"/>
      <name val="Arial"/>
      <family val="0"/>
      <charset val="1"/>
    </font>
    <font>
      <sz val="10"/>
      <color rgb="FF1F2430"/>
      <name val="Arial"/>
      <family val="0"/>
      <charset val="1"/>
    </font>
    <font>
      <b val="true"/>
      <sz val="10"/>
      <color rgb="FF1F2430"/>
      <name val="Arial"/>
      <family val="0"/>
      <charset val="1"/>
    </font>
    <font>
      <i val="true"/>
      <sz val="9"/>
      <color rgb="FF5B6170"/>
      <name val="Arial"/>
      <family val="0"/>
      <charset val="1"/>
    </font>
    <font>
      <i val="true"/>
      <sz val="10"/>
      <color rgb="FF1F2430"/>
      <name val="Arial"/>
      <family val="0"/>
      <charset val="1"/>
    </font>
    <font>
      <sz val="10"/>
      <color rgb="FF1F2430"/>
      <name val="WenQuanYi Zen Hei"/>
      <family val="2"/>
      <charset val="1"/>
    </font>
    <font>
      <b val="true"/>
      <sz val="11"/>
      <color rgb="FF1F2430"/>
      <name val="Arial"/>
      <family val="0"/>
      <charset val="1"/>
    </font>
    <font>
      <sz val="10"/>
      <color rgb="FF0000FF"/>
      <name val="Arial"/>
      <family val="0"/>
      <charset val="1"/>
    </font>
  </fonts>
  <fills count="12">
    <fill>
      <patternFill patternType="none"/>
    </fill>
    <fill>
      <patternFill patternType="gray125"/>
    </fill>
    <fill>
      <patternFill patternType="solid">
        <fgColor rgb="FF1F2430"/>
        <bgColor rgb="FF333300"/>
      </patternFill>
    </fill>
    <fill>
      <patternFill patternType="solid">
        <fgColor rgb="FFFFF4CC"/>
        <bgColor rgb="FFFFE7B3"/>
      </patternFill>
    </fill>
    <fill>
      <patternFill patternType="solid">
        <fgColor rgb="FFF3F3F3"/>
        <bgColor rgb="FFEEEEEE"/>
      </patternFill>
    </fill>
    <fill>
      <patternFill patternType="solid">
        <fgColor rgb="FFFFFFFF"/>
        <bgColor rgb="FFF3F3F3"/>
      </patternFill>
    </fill>
    <fill>
      <patternFill patternType="solid">
        <fgColor rgb="FFDCEBFF"/>
        <bgColor rgb="FFE9ECF2"/>
      </patternFill>
    </fill>
    <fill>
      <patternFill patternType="solid">
        <fgColor rgb="FFFFE7B3"/>
        <bgColor rgb="FFFFF4CC"/>
      </patternFill>
    </fill>
    <fill>
      <patternFill patternType="solid">
        <fgColor rgb="FFD5F2DC"/>
        <bgColor rgb="FFDCEBFF"/>
      </patternFill>
    </fill>
    <fill>
      <patternFill patternType="solid">
        <fgColor rgb="FFF8D3D3"/>
        <bgColor rgb="FFFFE7B3"/>
      </patternFill>
    </fill>
    <fill>
      <patternFill patternType="solid">
        <fgColor rgb="FFEEEEEE"/>
        <bgColor rgb="FFE9ECF2"/>
      </patternFill>
    </fill>
    <fill>
      <patternFill patternType="solid">
        <fgColor rgb="FFE9ECF2"/>
        <bgColor rgb="FFEEEEEE"/>
      </patternFill>
    </fill>
  </fills>
  <borders count="2">
    <border diagonalUp="false" diagonalDown="false">
      <left/>
      <right/>
      <top/>
      <bottom/>
      <diagonal/>
    </border>
    <border diagonalUp="false" diagonalDown="false">
      <left style="thin">
        <color rgb="FFC9CED8"/>
      </left>
      <right style="thin">
        <color rgb="FFC9CED8"/>
      </right>
      <top style="thin">
        <color rgb="FFC9CED8"/>
      </top>
      <bottom style="thin">
        <color rgb="FFC9CE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general" vertical="bottom" textRotation="0" wrapText="false" indent="0" shrinkToFit="false"/>
      <protection locked="true" hidden="false"/>
    </xf>
    <xf numFmtId="164" fontId="8" fillId="9" borderId="1" xfId="0" applyFont="true" applyBorder="true" applyAlignment="true" applyProtection="false">
      <alignment horizontal="general" vertical="bottom" textRotation="0" wrapText="false" indent="0" shrinkToFit="false"/>
      <protection locked="true" hidden="false"/>
    </xf>
    <xf numFmtId="164" fontId="8" fillId="1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14" fillId="3"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4" fontId="9" fillId="11" borderId="1" xfId="0" applyFont="true" applyBorder="true" applyAlignment="true" applyProtection="false">
      <alignment horizontal="general" vertical="bottom" textRotation="0" wrapText="false" indent="0" shrinkToFit="false"/>
      <protection locked="true" hidden="false"/>
    </xf>
    <xf numFmtId="166" fontId="9" fillId="11"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2430"/>
          <bgColor rgb="FF000000"/>
        </patternFill>
      </fill>
    </dxf>
    <dxf>
      <fill>
        <patternFill patternType="solid">
          <fgColor rgb="FFF3F3F3"/>
          <bgColor rgb="FF000000"/>
        </patternFill>
      </fill>
    </dxf>
    <dxf>
      <fill>
        <patternFill patternType="solid">
          <bgColor rgb="FF000000"/>
        </patternFill>
      </fill>
    </dxf>
    <dxf>
      <fill>
        <patternFill patternType="solid">
          <fgColor rgb="FFFFFFFF"/>
          <bgColor rgb="FF000000"/>
        </patternFill>
      </fill>
    </dxf>
    <dxf>
      <fill>
        <patternFill patternType="solid">
          <fgColor rgb="FFFFF4CC"/>
          <bgColor rgb="FF000000"/>
        </patternFill>
      </fill>
    </dxf>
    <dxf>
      <fill>
        <patternFill patternType="solid">
          <fgColor rgb="FFD5F2DC"/>
          <bgColor rgb="FF000000"/>
        </patternFill>
      </fill>
    </dxf>
    <dxf>
      <fill>
        <patternFill patternType="solid">
          <fgColor rgb="FFDCEBFF"/>
          <bgColor rgb="FF000000"/>
        </patternFill>
      </fill>
    </dxf>
    <dxf>
      <fill>
        <patternFill>
          <bgColor rgb="FFFFFFFF"/>
        </patternFill>
      </fill>
    </dxf>
    <dxf>
      <fill>
        <patternFill>
          <bgColor rgb="FFDCEBFF"/>
        </patternFill>
      </fill>
    </dxf>
    <dxf>
      <fill>
        <patternFill>
          <bgColor rgb="FFFFE7B3"/>
        </patternFill>
      </fill>
    </dxf>
    <dxf>
      <fill>
        <patternFill>
          <bgColor rgb="FFD5F2DC"/>
        </patternFill>
      </fill>
    </dxf>
    <dxf>
      <fill>
        <patternFill>
          <bgColor rgb="FFF8D3D3"/>
        </patternFill>
      </fill>
    </dxf>
    <dxf>
      <fill>
        <patternFill>
          <bgColor rgb="FFEEEEEE"/>
        </patternFill>
      </fill>
    </dxf>
    <dxf>
      <fill>
        <patternFill patternType="solid">
          <fgColor rgb="FFF8D3D3"/>
          <bgColor rgb="FF000000"/>
        </patternFill>
      </fill>
    </dxf>
    <dxf>
      <fill>
        <patternFill patternType="solid">
          <fgColor rgb="FFFFE7B3"/>
          <bgColor rgb="FF000000"/>
        </patternFill>
      </fill>
    </dxf>
    <dxf>
      <fill>
        <patternFill patternType="solid">
          <fgColor rgb="FFEEEEE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EEEEE"/>
      <rgbColor rgb="FF808080"/>
      <rgbColor rgb="FF9999FF"/>
      <rgbColor rgb="FF993366"/>
      <rgbColor rgb="FFFFF4CC"/>
      <rgbColor rgb="FFDCEBFF"/>
      <rgbColor rgb="FF660066"/>
      <rgbColor rgb="FFFF8080"/>
      <rgbColor rgb="FF0F6FDE"/>
      <rgbColor rgb="FFC9CED8"/>
      <rgbColor rgb="FF000080"/>
      <rgbColor rgb="FFFF00FF"/>
      <rgbColor rgb="FFFFFF00"/>
      <rgbColor rgb="FF00FFFF"/>
      <rgbColor rgb="FF800080"/>
      <rgbColor rgb="FF800000"/>
      <rgbColor rgb="FF008080"/>
      <rgbColor rgb="FF0000FF"/>
      <rgbColor rgb="FF00CCFF"/>
      <rgbColor rgb="FFE9ECF2"/>
      <rgbColor rgb="FFD5F2DC"/>
      <rgbColor rgb="FFFFE7B3"/>
      <rgbColor rgb="FFF3F3F3"/>
      <rgbColor rgb="FFFF99CC"/>
      <rgbColor rgb="FFCC99FF"/>
      <rgbColor rgb="FFF8D3D3"/>
      <rgbColor rgb="FF7A5AF8"/>
      <rgbColor rgb="FF33CCCC"/>
      <rgbColor rgb="FF99CC00"/>
      <rgbColor rgb="FFFFCC00"/>
      <rgbColor rgb="FFFFB224"/>
      <rgbColor rgb="FFE5484D"/>
      <rgbColor rgb="FF5B6170"/>
      <rgbColor rgb="FF969696"/>
      <rgbColor rgb="FF003366"/>
      <rgbColor rgb="FF2BB673"/>
      <rgbColor rgb="FF003300"/>
      <rgbColor rgb="FF333300"/>
      <rgbColor rgb="FFC2410C"/>
      <rgbColor rgb="FF993366"/>
      <rgbColor rgb="FF333399"/>
      <rgbColor rgb="FF1F24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430"/>
    <pageSetUpPr fitToPage="false"/>
  </sheetPr>
  <dimension ref="A1:H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2"/>
    <col collapsed="false" customWidth="true" hidden="false" outlineLevel="0" max="2" min="2" style="1" width="20"/>
    <col collapsed="false" customWidth="true" hidden="false" outlineLevel="0" max="3" min="3" style="1" width="50"/>
    <col collapsed="false" customWidth="true" hidden="false" outlineLevel="0" max="4" min="4" style="1" width="30"/>
    <col collapsed="false" customWidth="true" hidden="false" outlineLevel="0" max="5" min="5" style="1" width="9"/>
    <col collapsed="false" customWidth="true" hidden="false" outlineLevel="0" max="7" min="6" style="1" width="15"/>
    <col collapsed="false" customWidth="true" hidden="false" outlineLevel="0" max="8" min="8" style="1" width="18"/>
  </cols>
  <sheetData>
    <row r="1" customFormat="false" ht="25.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31.5" hidden="false" customHeight="true" outlineLevel="0" collapsed="false">
      <c r="A5" s="5" t="s">
        <v>3</v>
      </c>
      <c r="B5" s="5" t="s">
        <v>4</v>
      </c>
      <c r="C5" s="5" t="s">
        <v>5</v>
      </c>
      <c r="D5" s="5" t="s">
        <v>6</v>
      </c>
      <c r="E5" s="5" t="s">
        <v>7</v>
      </c>
      <c r="F5" s="5" t="s">
        <v>8</v>
      </c>
      <c r="G5" s="5" t="s">
        <v>9</v>
      </c>
      <c r="H5" s="5" t="s">
        <v>10</v>
      </c>
    </row>
    <row r="6" customFormat="false" ht="15" hidden="false" customHeight="true" outlineLevel="0" collapsed="false">
      <c r="A6" s="6" t="s">
        <v>11</v>
      </c>
      <c r="B6" s="6" t="s">
        <v>12</v>
      </c>
      <c r="C6" s="6" t="s">
        <v>13</v>
      </c>
      <c r="D6" s="6" t="s">
        <v>14</v>
      </c>
      <c r="E6" s="6" t="n">
        <f aca="false">COUNTA('1 Streamer Stories'!A6:A13)</f>
        <v>8</v>
      </c>
      <c r="F6" s="6" t="n">
        <f aca="false">COUNTIF('1 Streamer Stories'!M6:M13,"Approved")</f>
        <v>1</v>
      </c>
      <c r="G6" s="6" t="n">
        <f aca="false">COUNTIF('1 Streamer Stories'!N6:N13,"Approved")</f>
        <v>1</v>
      </c>
      <c r="H6" s="6" t="n">
        <f aca="false">COUNTIF('1 Streamer Stories'!Q6:Q13,"Approved")</f>
        <v>0</v>
      </c>
    </row>
    <row r="7" customFormat="false" ht="15" hidden="false" customHeight="true" outlineLevel="0" collapsed="false">
      <c r="A7" s="6" t="s">
        <v>15</v>
      </c>
      <c r="B7" s="6" t="s">
        <v>16</v>
      </c>
      <c r="C7" s="6" t="s">
        <v>17</v>
      </c>
      <c r="D7" s="6" t="s">
        <v>18</v>
      </c>
      <c r="E7" s="6" t="n">
        <f aca="false">COUNTA('2 Brand · Generic'!A5:A20)</f>
        <v>16</v>
      </c>
      <c r="F7" s="6" t="n">
        <f aca="false">COUNTIF('2 Brand · Generic'!O5:O20,"Approved")</f>
        <v>0</v>
      </c>
      <c r="G7" s="6" t="n">
        <f aca="false">COUNTIF('2 Brand · Generic'!P5:P20,"Approved")</f>
        <v>0</v>
      </c>
      <c r="H7" s="6" t="n">
        <f aca="false">COUNTIF('2 Brand · Generic'!S5:S20,"Approved")</f>
        <v>0</v>
      </c>
    </row>
    <row r="8" customFormat="false" ht="15" hidden="false" customHeight="true" outlineLevel="0" collapsed="false">
      <c r="A8" s="6" t="s">
        <v>19</v>
      </c>
      <c r="B8" s="6" t="s">
        <v>20</v>
      </c>
      <c r="C8" s="6" t="s">
        <v>21</v>
      </c>
      <c r="D8" s="6" t="s">
        <v>18</v>
      </c>
      <c r="E8" s="6" t="n">
        <f aca="false">COUNTA('3 Brand · Master'!A5:A6)</f>
        <v>2</v>
      </c>
      <c r="F8" s="6" t="n">
        <f aca="false">COUNTIF('3 Brand · Master'!H5:H6,"Approved")</f>
        <v>0</v>
      </c>
      <c r="G8" s="6" t="n">
        <f aca="false">COUNTIF('3 Brand · Master'!I5:I6,"Approved")</f>
        <v>0</v>
      </c>
      <c r="H8" s="6" t="n">
        <f aca="false">COUNTIF('3 Brand · Master'!L5:L6,"Approved")</f>
        <v>0</v>
      </c>
    </row>
    <row r="10" customFormat="false" ht="15" hidden="false" customHeight="true" outlineLevel="0" collapsed="false">
      <c r="A10" s="4" t="s">
        <v>22</v>
      </c>
    </row>
    <row r="11" customFormat="false" ht="15" hidden="false" customHeight="true" outlineLevel="0" collapsed="false">
      <c r="A11" s="7" t="s">
        <v>23</v>
      </c>
      <c r="C11" s="3" t="s">
        <v>24</v>
      </c>
    </row>
    <row r="12" customFormat="false" ht="15" hidden="false" customHeight="true" outlineLevel="0" collapsed="false">
      <c r="A12" s="7" t="s">
        <v>25</v>
      </c>
    </row>
    <row r="13" customFormat="false" ht="15" hidden="false" customHeight="true" outlineLevel="0" collapsed="false">
      <c r="A13" s="7" t="s">
        <v>26</v>
      </c>
    </row>
    <row r="14" customFormat="false" ht="15" hidden="false" customHeight="true" outlineLevel="0" collapsed="false">
      <c r="A14" s="7" t="s">
        <v>27</v>
      </c>
    </row>
    <row r="15" customFormat="false" ht="15" hidden="false" customHeight="true" outlineLevel="0" collapsed="false">
      <c r="A15" s="7" t="s">
        <v>28</v>
      </c>
    </row>
    <row r="16" customFormat="false" ht="15" hidden="false" customHeight="true" outlineLevel="0" collapsed="false">
      <c r="A16" s="7" t="s">
        <v>29</v>
      </c>
    </row>
    <row r="17" customFormat="false" ht="15" hidden="false" customHeight="true" outlineLevel="0" collapsed="false">
      <c r="A17" s="7" t="s">
        <v>30</v>
      </c>
    </row>
    <row r="18" customFormat="false" ht="15" hidden="false" customHeight="true" outlineLevel="0" collapsed="false">
      <c r="A18" s="7" t="s">
        <v>31</v>
      </c>
    </row>
    <row r="21" customFormat="false" ht="15" hidden="false" customHeight="true" outlineLevel="0" collapsed="false">
      <c r="A21" s="4" t="s">
        <v>32</v>
      </c>
    </row>
    <row r="22" customFormat="false" ht="15" hidden="false" customHeight="true" outlineLevel="0" collapsed="false">
      <c r="A22" s="8" t="s">
        <v>33</v>
      </c>
      <c r="C22" s="7" t="s">
        <v>34</v>
      </c>
    </row>
    <row r="23" customFormat="false" ht="15" hidden="false" customHeight="true" outlineLevel="0" collapsed="false">
      <c r="A23" s="9" t="s">
        <v>35</v>
      </c>
      <c r="C23" s="7" t="s">
        <v>36</v>
      </c>
    </row>
    <row r="25" customFormat="false" ht="15" hidden="false" customHeight="true" outlineLevel="0" collapsed="false">
      <c r="A25" s="10" t="s">
        <v>37</v>
      </c>
    </row>
    <row r="26" customFormat="false" ht="15" hidden="false" customHeight="true" outlineLevel="0" collapsed="false">
      <c r="A26" s="11" t="s">
        <v>38</v>
      </c>
    </row>
    <row r="27" customFormat="false" ht="15" hidden="false" customHeight="true" outlineLevel="0" collapsed="false">
      <c r="A27" s="12" t="s">
        <v>39</v>
      </c>
    </row>
    <row r="28" customFormat="false" ht="15" hidden="false" customHeight="true" outlineLevel="0" collapsed="false">
      <c r="A28" s="13" t="s">
        <v>40</v>
      </c>
    </row>
    <row r="29" customFormat="false" ht="15" hidden="false" customHeight="true" outlineLevel="0" collapsed="false">
      <c r="A29" s="14" t="s">
        <v>41</v>
      </c>
    </row>
    <row r="30" customFormat="false" ht="15" hidden="false" customHeight="true" outlineLevel="0" collapsed="false">
      <c r="A30" s="15" t="s">
        <v>42</v>
      </c>
    </row>
    <row r="31" customFormat="false" ht="15" hidden="false" customHeight="true" outlineLevel="0" collapsed="false">
      <c r="A31" s="16" t="s">
        <v>43</v>
      </c>
    </row>
    <row r="34" customFormat="false" ht="15" hidden="false" customHeight="true" outlineLevel="0" collapsed="false">
      <c r="A34" s="4" t="s">
        <v>44</v>
      </c>
    </row>
    <row r="35" customFormat="false" ht="15" hidden="false" customHeight="true" outlineLevel="0" collapsed="false">
      <c r="A35" s="7" t="s">
        <v>45</v>
      </c>
    </row>
    <row r="36" customFormat="false" ht="15" hidden="false" customHeight="true" outlineLevel="0" collapsed="false">
      <c r="A36" s="7" t="s">
        <v>46</v>
      </c>
    </row>
    <row r="37" customFormat="false" ht="15" hidden="false" customHeight="true" outlineLevel="0" collapsed="false">
      <c r="A37" s="7" t="s">
        <v>47</v>
      </c>
    </row>
    <row r="38" customFormat="false" ht="15" hidden="false" customHeight="true" outlineLevel="0" collapsed="false">
      <c r="A38" s="7" t="s">
        <v>48</v>
      </c>
    </row>
    <row r="39" customFormat="false" ht="15" hidden="false" customHeight="true" outlineLevel="0" collapsed="false">
      <c r="A39" s="7" t="s">
        <v>49</v>
      </c>
    </row>
    <row r="40" customFormat="false" ht="15" hidden="false" customHeight="true" outlineLevel="0" collapsed="false">
      <c r="A40" s="7" t="s">
        <v>50</v>
      </c>
    </row>
    <row r="41" customFormat="false" ht="15" hidden="false" customHeight="true" outlineLevel="0" collapsed="false">
      <c r="A41" s="7" t="s">
        <v>51</v>
      </c>
    </row>
    <row r="42" customFormat="false" ht="15" hidden="false" customHeight="true" outlineLevel="0" collapsed="false">
      <c r="A42" s="17" t="s">
        <v>52</v>
      </c>
    </row>
    <row r="43" customFormat="false" ht="15" hidden="false" customHeight="true" outlineLevel="0" collapsed="false">
      <c r="A43" s="7"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5AF8"/>
    <pageSetUpPr fitToPage="false"/>
  </sheetPr>
  <dimension ref="A1:U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1" width="8"/>
    <col collapsed="false" customWidth="true" hidden="false" outlineLevel="0" max="3" min="2" style="1" width="30"/>
    <col collapsed="false" customWidth="true" hidden="false" outlineLevel="0" max="4" min="4" style="1" width="44"/>
    <col collapsed="false" customWidth="true" hidden="false" outlineLevel="0" max="5" min="5" style="1" width="12"/>
    <col collapsed="false" customWidth="true" hidden="false" outlineLevel="0" max="6" min="6" style="1" width="9"/>
    <col collapsed="false" customWidth="true" hidden="false" outlineLevel="0" max="7" min="7" style="1" width="11"/>
    <col collapsed="false" customWidth="true" hidden="false" outlineLevel="0" max="8" min="8" style="1" width="34"/>
    <col collapsed="false" customWidth="true" hidden="false" outlineLevel="0" max="9" min="9" style="1" width="22"/>
    <col collapsed="false" customWidth="true" hidden="false" outlineLevel="0" max="10" min="10" style="1" width="12"/>
    <col collapsed="false" customWidth="true" hidden="false" outlineLevel="0" max="11" min="11" style="1" width="9"/>
    <col collapsed="false" customWidth="true" hidden="false" outlineLevel="0" max="12" min="12" style="1" width="22"/>
    <col collapsed="false" customWidth="true" hidden="false" outlineLevel="0" max="16" min="13" style="1" width="12"/>
    <col collapsed="false" customWidth="true" hidden="false" outlineLevel="0" max="17" min="17" style="1" width="13"/>
    <col collapsed="false" customWidth="true" hidden="false" outlineLevel="0" max="18" min="18" style="1" width="12"/>
    <col collapsed="false" customWidth="true" hidden="false" outlineLevel="0" max="19" min="19" style="1" width="18"/>
    <col collapsed="false" customWidth="true" hidden="false" outlineLevel="0" max="20" min="20" style="1" width="12"/>
    <col collapsed="false" customWidth="true" hidden="false" outlineLevel="0" max="21" min="21" style="1" width="30"/>
  </cols>
  <sheetData>
    <row r="1" customFormat="false" ht="25.5" hidden="false" customHeight="true" outlineLevel="0" collapsed="false">
      <c r="A1" s="2" t="s">
        <v>54</v>
      </c>
    </row>
    <row r="2" customFormat="false" ht="15" hidden="false" customHeight="true" outlineLevel="0" collapsed="false">
      <c r="A2" s="3" t="s">
        <v>55</v>
      </c>
    </row>
    <row r="4" customFormat="false" ht="31.5" hidden="false" customHeight="true" outlineLevel="0" collapsed="false">
      <c r="A4" s="5" t="s">
        <v>56</v>
      </c>
      <c r="B4" s="5" t="s">
        <v>57</v>
      </c>
      <c r="C4" s="5" t="s">
        <v>58</v>
      </c>
      <c r="D4" s="5" t="s">
        <v>59</v>
      </c>
      <c r="E4" s="5" t="s">
        <v>60</v>
      </c>
      <c r="F4" s="5" t="s">
        <v>61</v>
      </c>
      <c r="G4" s="5" t="s">
        <v>62</v>
      </c>
      <c r="H4" s="5" t="s">
        <v>63</v>
      </c>
      <c r="I4" s="5" t="s">
        <v>64</v>
      </c>
      <c r="J4" s="5" t="s">
        <v>65</v>
      </c>
      <c r="K4" s="5" t="s">
        <v>66</v>
      </c>
      <c r="L4" s="5" t="s">
        <v>67</v>
      </c>
      <c r="M4" s="5" t="s">
        <v>68</v>
      </c>
      <c r="N4" s="5" t="s">
        <v>69</v>
      </c>
      <c r="O4" s="5" t="s">
        <v>70</v>
      </c>
      <c r="P4" s="5" t="s">
        <v>71</v>
      </c>
      <c r="Q4" s="5" t="s">
        <v>72</v>
      </c>
      <c r="R4" s="5" t="s">
        <v>73</v>
      </c>
      <c r="S4" s="5" t="s">
        <v>74</v>
      </c>
      <c r="T4" s="5" t="s">
        <v>75</v>
      </c>
      <c r="U4" s="5" t="s">
        <v>76</v>
      </c>
    </row>
    <row r="5" customFormat="false" ht="23.25" hidden="false" customHeight="true" outlineLevel="0" collapsed="false">
      <c r="A5" s="18" t="s">
        <v>77</v>
      </c>
      <c r="B5" s="18" t="s">
        <v>78</v>
      </c>
      <c r="C5" s="18" t="s">
        <v>79</v>
      </c>
      <c r="D5" s="18" t="s">
        <v>80</v>
      </c>
      <c r="E5" s="18" t="s">
        <v>81</v>
      </c>
      <c r="F5" s="18" t="s">
        <v>82</v>
      </c>
      <c r="G5" s="18" t="s">
        <v>83</v>
      </c>
      <c r="H5" s="18" t="s">
        <v>84</v>
      </c>
      <c r="I5" s="18" t="s">
        <v>85</v>
      </c>
      <c r="J5" s="18" t="s">
        <v>86</v>
      </c>
      <c r="K5" s="18" t="s">
        <v>87</v>
      </c>
      <c r="L5" s="18" t="s">
        <v>88</v>
      </c>
      <c r="M5" s="18" t="s">
        <v>39</v>
      </c>
      <c r="N5" s="18" t="s">
        <v>38</v>
      </c>
      <c r="O5" s="18" t="s">
        <v>38</v>
      </c>
      <c r="P5" s="18" t="s">
        <v>38</v>
      </c>
      <c r="Q5" s="18" t="s">
        <v>38</v>
      </c>
      <c r="R5" s="18"/>
      <c r="S5" s="18" t="s">
        <v>89</v>
      </c>
      <c r="T5" s="18"/>
      <c r="U5" s="18" t="s">
        <v>90</v>
      </c>
    </row>
    <row r="6" customFormat="false" ht="34.5" hidden="false" customHeight="true" outlineLevel="0" collapsed="false">
      <c r="A6" s="6" t="s">
        <v>91</v>
      </c>
      <c r="B6" s="19" t="s">
        <v>92</v>
      </c>
      <c r="C6" s="19" t="s">
        <v>93</v>
      </c>
      <c r="D6" s="19" t="s">
        <v>94</v>
      </c>
      <c r="E6" s="19" t="s">
        <v>81</v>
      </c>
      <c r="F6" s="19" t="s">
        <v>95</v>
      </c>
      <c r="G6" s="19" t="s">
        <v>83</v>
      </c>
      <c r="H6" s="6" t="s">
        <v>96</v>
      </c>
      <c r="I6" s="19" t="s">
        <v>97</v>
      </c>
      <c r="J6" s="6" t="s">
        <v>86</v>
      </c>
      <c r="K6" s="6" t="s">
        <v>98</v>
      </c>
      <c r="L6" s="19" t="s">
        <v>99</v>
      </c>
      <c r="M6" s="6" t="s">
        <v>41</v>
      </c>
      <c r="N6" s="6" t="s">
        <v>41</v>
      </c>
      <c r="O6" s="6" t="s">
        <v>41</v>
      </c>
      <c r="P6" s="6" t="s">
        <v>39</v>
      </c>
      <c r="Q6" s="6" t="s">
        <v>38</v>
      </c>
      <c r="R6" s="19"/>
      <c r="S6" s="6" t="s">
        <v>89</v>
      </c>
      <c r="T6" s="19"/>
      <c r="U6" s="19" t="s">
        <v>100</v>
      </c>
    </row>
    <row r="7" customFormat="false" ht="34.5" hidden="false" customHeight="true" outlineLevel="0" collapsed="false">
      <c r="A7" s="6" t="s">
        <v>101</v>
      </c>
      <c r="B7" s="19" t="s">
        <v>102</v>
      </c>
      <c r="C7" s="19" t="s">
        <v>103</v>
      </c>
      <c r="D7" s="19" t="s">
        <v>104</v>
      </c>
      <c r="E7" s="19" t="s">
        <v>105</v>
      </c>
      <c r="F7" s="19" t="s">
        <v>106</v>
      </c>
      <c r="G7" s="19" t="s">
        <v>83</v>
      </c>
      <c r="H7" s="6" t="s">
        <v>107</v>
      </c>
      <c r="I7" s="19" t="s">
        <v>108</v>
      </c>
      <c r="J7" s="6" t="s">
        <v>86</v>
      </c>
      <c r="K7" s="6" t="s">
        <v>109</v>
      </c>
      <c r="L7" s="19" t="s">
        <v>110</v>
      </c>
      <c r="M7" s="6" t="s">
        <v>38</v>
      </c>
      <c r="N7" s="6" t="s">
        <v>38</v>
      </c>
      <c r="O7" s="6" t="s">
        <v>38</v>
      </c>
      <c r="P7" s="6" t="s">
        <v>38</v>
      </c>
      <c r="Q7" s="6" t="s">
        <v>38</v>
      </c>
      <c r="R7" s="19"/>
      <c r="S7" s="6" t="s">
        <v>89</v>
      </c>
      <c r="T7" s="19"/>
      <c r="U7" s="19" t="s">
        <v>111</v>
      </c>
    </row>
    <row r="8" customFormat="false" ht="15" hidden="false" customHeight="true" outlineLevel="0" collapsed="false">
      <c r="A8" s="6" t="s">
        <v>112</v>
      </c>
      <c r="B8" s="19"/>
      <c r="C8" s="19"/>
      <c r="D8" s="19"/>
      <c r="E8" s="19"/>
      <c r="F8" s="19"/>
      <c r="G8" s="19"/>
      <c r="H8" s="6" t="s">
        <v>113</v>
      </c>
      <c r="I8" s="19"/>
      <c r="J8" s="6" t="s">
        <v>86</v>
      </c>
      <c r="K8" s="6" t="s">
        <v>114</v>
      </c>
      <c r="L8" s="19"/>
      <c r="M8" s="6" t="s">
        <v>38</v>
      </c>
      <c r="N8" s="6" t="s">
        <v>38</v>
      </c>
      <c r="O8" s="6" t="s">
        <v>38</v>
      </c>
      <c r="P8" s="6" t="s">
        <v>38</v>
      </c>
      <c r="Q8" s="6" t="s">
        <v>38</v>
      </c>
      <c r="R8" s="19"/>
      <c r="S8" s="6"/>
      <c r="T8" s="19"/>
      <c r="U8" s="19" t="s">
        <v>115</v>
      </c>
    </row>
    <row r="9" customFormat="false" ht="15" hidden="false" customHeight="true" outlineLevel="0" collapsed="false">
      <c r="A9" s="6" t="s">
        <v>116</v>
      </c>
      <c r="B9" s="19"/>
      <c r="C9" s="19"/>
      <c r="D9" s="19"/>
      <c r="E9" s="19"/>
      <c r="F9" s="19"/>
      <c r="G9" s="19"/>
      <c r="H9" s="6" t="s">
        <v>117</v>
      </c>
      <c r="I9" s="19"/>
      <c r="J9" s="6" t="s">
        <v>86</v>
      </c>
      <c r="K9" s="6" t="s">
        <v>114</v>
      </c>
      <c r="L9" s="19"/>
      <c r="M9" s="6" t="s">
        <v>38</v>
      </c>
      <c r="N9" s="6" t="s">
        <v>38</v>
      </c>
      <c r="O9" s="6" t="s">
        <v>38</v>
      </c>
      <c r="P9" s="6" t="s">
        <v>38</v>
      </c>
      <c r="Q9" s="6" t="s">
        <v>38</v>
      </c>
      <c r="R9" s="19"/>
      <c r="S9" s="6"/>
      <c r="T9" s="19"/>
      <c r="U9" s="19" t="s">
        <v>115</v>
      </c>
    </row>
    <row r="10" customFormat="false" ht="23.25" hidden="false" customHeight="true" outlineLevel="0" collapsed="false">
      <c r="A10" s="6" t="s">
        <v>118</v>
      </c>
      <c r="B10" s="19"/>
      <c r="C10" s="19"/>
      <c r="D10" s="19"/>
      <c r="E10" s="19"/>
      <c r="F10" s="19"/>
      <c r="G10" s="19"/>
      <c r="H10" s="6" t="s">
        <v>119</v>
      </c>
      <c r="I10" s="19"/>
      <c r="J10" s="6" t="s">
        <v>86</v>
      </c>
      <c r="K10" s="6" t="s">
        <v>114</v>
      </c>
      <c r="L10" s="19"/>
      <c r="M10" s="6" t="s">
        <v>38</v>
      </c>
      <c r="N10" s="6" t="s">
        <v>38</v>
      </c>
      <c r="O10" s="6" t="s">
        <v>38</v>
      </c>
      <c r="P10" s="6" t="s">
        <v>38</v>
      </c>
      <c r="Q10" s="6" t="s">
        <v>38</v>
      </c>
      <c r="R10" s="19"/>
      <c r="S10" s="6"/>
      <c r="T10" s="19"/>
      <c r="U10" s="19" t="s">
        <v>115</v>
      </c>
    </row>
    <row r="11" customFormat="false" ht="15" hidden="false" customHeight="true" outlineLevel="0" collapsed="false">
      <c r="A11" s="6" t="s">
        <v>120</v>
      </c>
      <c r="B11" s="19"/>
      <c r="C11" s="19"/>
      <c r="D11" s="19"/>
      <c r="E11" s="19"/>
      <c r="F11" s="19"/>
      <c r="G11" s="19"/>
      <c r="H11" s="6" t="s">
        <v>121</v>
      </c>
      <c r="I11" s="19"/>
      <c r="J11" s="6" t="s">
        <v>86</v>
      </c>
      <c r="K11" s="6" t="s">
        <v>114</v>
      </c>
      <c r="L11" s="19"/>
      <c r="M11" s="6" t="s">
        <v>38</v>
      </c>
      <c r="N11" s="6" t="s">
        <v>38</v>
      </c>
      <c r="O11" s="6" t="s">
        <v>38</v>
      </c>
      <c r="P11" s="6" t="s">
        <v>38</v>
      </c>
      <c r="Q11" s="6" t="s">
        <v>38</v>
      </c>
      <c r="R11" s="19"/>
      <c r="S11" s="6"/>
      <c r="T11" s="19"/>
      <c r="U11" s="19" t="s">
        <v>115</v>
      </c>
    </row>
    <row r="12" customFormat="false" ht="15" hidden="false" customHeight="true" outlineLevel="0" collapsed="false">
      <c r="A12" s="6" t="s">
        <v>122</v>
      </c>
      <c r="B12" s="19"/>
      <c r="C12" s="19"/>
      <c r="D12" s="19"/>
      <c r="E12" s="19"/>
      <c r="F12" s="19"/>
      <c r="G12" s="19"/>
      <c r="H12" s="6" t="s">
        <v>123</v>
      </c>
      <c r="I12" s="19"/>
      <c r="J12" s="6" t="s">
        <v>86</v>
      </c>
      <c r="K12" s="6" t="s">
        <v>114</v>
      </c>
      <c r="L12" s="19"/>
      <c r="M12" s="6" t="s">
        <v>38</v>
      </c>
      <c r="N12" s="6" t="s">
        <v>38</v>
      </c>
      <c r="O12" s="6" t="s">
        <v>38</v>
      </c>
      <c r="P12" s="6" t="s">
        <v>38</v>
      </c>
      <c r="Q12" s="6" t="s">
        <v>38</v>
      </c>
      <c r="R12" s="19"/>
      <c r="S12" s="6"/>
      <c r="T12" s="19"/>
      <c r="U12" s="19" t="s">
        <v>115</v>
      </c>
    </row>
    <row r="13" customFormat="false" ht="15" hidden="false" customHeight="true" outlineLevel="0" collapsed="false">
      <c r="A13" s="6" t="s">
        <v>124</v>
      </c>
      <c r="B13" s="19"/>
      <c r="C13" s="19"/>
      <c r="D13" s="19"/>
      <c r="E13" s="19"/>
      <c r="F13" s="19"/>
      <c r="G13" s="19"/>
      <c r="H13" s="6" t="s">
        <v>125</v>
      </c>
      <c r="I13" s="19"/>
      <c r="J13" s="6" t="s">
        <v>86</v>
      </c>
      <c r="K13" s="6" t="s">
        <v>114</v>
      </c>
      <c r="L13" s="19"/>
      <c r="M13" s="6" t="s">
        <v>38</v>
      </c>
      <c r="N13" s="6" t="s">
        <v>38</v>
      </c>
      <c r="O13" s="6" t="s">
        <v>38</v>
      </c>
      <c r="P13" s="6" t="s">
        <v>38</v>
      </c>
      <c r="Q13" s="6" t="s">
        <v>38</v>
      </c>
      <c r="R13" s="19"/>
      <c r="S13" s="6"/>
      <c r="T13" s="19"/>
      <c r="U13" s="19" t="s">
        <v>115</v>
      </c>
    </row>
  </sheetData>
  <autoFilter ref="A4:U13"/>
  <conditionalFormatting sqref="M5:M13">
    <cfRule type="expression" priority="2" aboveAverage="0" equalAverage="0" bottom="0" percent="0" rank="0" text="" dxfId="7">
      <formula>M5="Not started"</formula>
    </cfRule>
    <cfRule type="expression" priority="3" aboveAverage="0" equalAverage="0" bottom="0" percent="0" rank="0" text="" dxfId="8">
      <formula>M5="In progress"</formula>
    </cfRule>
    <cfRule type="expression" priority="4" aboveAverage="0" equalAverage="0" bottom="0" percent="0" rank="0" text="" dxfId="9">
      <formula>M5="Review"</formula>
    </cfRule>
    <cfRule type="expression" priority="5" aboveAverage="0" equalAverage="0" bottom="0" percent="0" rank="0" text="" dxfId="10">
      <formula>M5="Approved"</formula>
    </cfRule>
    <cfRule type="expression" priority="6" aboveAverage="0" equalAverage="0" bottom="0" percent="0" rank="0" text="" dxfId="11">
      <formula>M5="Blocked"</formula>
    </cfRule>
    <cfRule type="expression" priority="7" aboveAverage="0" equalAverage="0" bottom="0" percent="0" rank="0" text="" dxfId="12">
      <formula>M5="N/A"</formula>
    </cfRule>
  </conditionalFormatting>
  <conditionalFormatting sqref="N5:N13">
    <cfRule type="expression" priority="8" aboveAverage="0" equalAverage="0" bottom="0" percent="0" rank="0" text="" dxfId="7">
      <formula>N5="Not started"</formula>
    </cfRule>
    <cfRule type="expression" priority="9" aboveAverage="0" equalAverage="0" bottom="0" percent="0" rank="0" text="" dxfId="8">
      <formula>N5="In progress"</formula>
    </cfRule>
    <cfRule type="expression" priority="10" aboveAverage="0" equalAverage="0" bottom="0" percent="0" rank="0" text="" dxfId="9">
      <formula>N5="Review"</formula>
    </cfRule>
    <cfRule type="expression" priority="11" aboveAverage="0" equalAverage="0" bottom="0" percent="0" rank="0" text="" dxfId="10">
      <formula>N5="Approved"</formula>
    </cfRule>
    <cfRule type="expression" priority="12" aboveAverage="0" equalAverage="0" bottom="0" percent="0" rank="0" text="" dxfId="11">
      <formula>N5="Blocked"</formula>
    </cfRule>
    <cfRule type="expression" priority="13" aboveAverage="0" equalAverage="0" bottom="0" percent="0" rank="0" text="" dxfId="12">
      <formula>N5="N/A"</formula>
    </cfRule>
  </conditionalFormatting>
  <conditionalFormatting sqref="O5:O13">
    <cfRule type="expression" priority="14" aboveAverage="0" equalAverage="0" bottom="0" percent="0" rank="0" text="" dxfId="7">
      <formula>O5="Not started"</formula>
    </cfRule>
    <cfRule type="expression" priority="15" aboveAverage="0" equalAverage="0" bottom="0" percent="0" rank="0" text="" dxfId="8">
      <formula>O5="In progress"</formula>
    </cfRule>
    <cfRule type="expression" priority="16" aboveAverage="0" equalAverage="0" bottom="0" percent="0" rank="0" text="" dxfId="9">
      <formula>O5="Review"</formula>
    </cfRule>
    <cfRule type="expression" priority="17" aboveAverage="0" equalAverage="0" bottom="0" percent="0" rank="0" text="" dxfId="10">
      <formula>O5="Approved"</formula>
    </cfRule>
    <cfRule type="expression" priority="18" aboveAverage="0" equalAverage="0" bottom="0" percent="0" rank="0" text="" dxfId="11">
      <formula>O5="Blocked"</formula>
    </cfRule>
    <cfRule type="expression" priority="19" aboveAverage="0" equalAverage="0" bottom="0" percent="0" rank="0" text="" dxfId="12">
      <formula>O5="N/A"</formula>
    </cfRule>
  </conditionalFormatting>
  <conditionalFormatting sqref="P5:P13">
    <cfRule type="expression" priority="20" aboveAverage="0" equalAverage="0" bottom="0" percent="0" rank="0" text="" dxfId="7">
      <formula>P5="Not started"</formula>
    </cfRule>
    <cfRule type="expression" priority="21" aboveAverage="0" equalAverage="0" bottom="0" percent="0" rank="0" text="" dxfId="8">
      <formula>P5="In progress"</formula>
    </cfRule>
    <cfRule type="expression" priority="22" aboveAverage="0" equalAverage="0" bottom="0" percent="0" rank="0" text="" dxfId="9">
      <formula>P5="Review"</formula>
    </cfRule>
    <cfRule type="expression" priority="23" aboveAverage="0" equalAverage="0" bottom="0" percent="0" rank="0" text="" dxfId="10">
      <formula>P5="Approved"</formula>
    </cfRule>
    <cfRule type="expression" priority="24" aboveAverage="0" equalAverage="0" bottom="0" percent="0" rank="0" text="" dxfId="11">
      <formula>P5="Blocked"</formula>
    </cfRule>
    <cfRule type="expression" priority="25" aboveAverage="0" equalAverage="0" bottom="0" percent="0" rank="0" text="" dxfId="12">
      <formula>P5="N/A"</formula>
    </cfRule>
  </conditionalFormatting>
  <conditionalFormatting sqref="Q5:Q13">
    <cfRule type="expression" priority="26" aboveAverage="0" equalAverage="0" bottom="0" percent="0" rank="0" text="" dxfId="7">
      <formula>Q5="Not started"</formula>
    </cfRule>
    <cfRule type="expression" priority="27" aboveAverage="0" equalAverage="0" bottom="0" percent="0" rank="0" text="" dxfId="8">
      <formula>Q5="In progress"</formula>
    </cfRule>
    <cfRule type="expression" priority="28" aboveAverage="0" equalAverage="0" bottom="0" percent="0" rank="0" text="" dxfId="9">
      <formula>Q5="Review"</formula>
    </cfRule>
    <cfRule type="expression" priority="29" aboveAverage="0" equalAverage="0" bottom="0" percent="0" rank="0" text="" dxfId="10">
      <formula>Q5="Approved"</formula>
    </cfRule>
    <cfRule type="expression" priority="30" aboveAverage="0" equalAverage="0" bottom="0" percent="0" rank="0" text="" dxfId="11">
      <formula>Q5="Blocked"</formula>
    </cfRule>
    <cfRule type="expression" priority="31" aboveAverage="0" equalAverage="0" bottom="0" percent="0" rank="0" text="" dxfId="12">
      <formula>Q5="N/A"</formula>
    </cfRule>
  </conditionalFormatting>
  <dataValidations count="5">
    <dataValidation allowBlank="true" errorStyle="stop" operator="between" showDropDown="false" showErrorMessage="false" showInputMessage="false" sqref="M5:M13" type="list">
      <formula1>"Not started,In progress,Review,Approved,Blocked,N/A"</formula1>
      <formula2>0</formula2>
    </dataValidation>
    <dataValidation allowBlank="true" errorStyle="stop" operator="between" showDropDown="false" showErrorMessage="false" showInputMessage="false" sqref="N5:N13" type="list">
      <formula1>"Not started,In progress,Review,Approved,Blocked,N/A"</formula1>
      <formula2>0</formula2>
    </dataValidation>
    <dataValidation allowBlank="true" errorStyle="stop" operator="between" showDropDown="false" showErrorMessage="false" showInputMessage="false" sqref="O5:O13" type="list">
      <formula1>"Not started,In progress,Review,Approved,Blocked,N/A"</formula1>
      <formula2>0</formula2>
    </dataValidation>
    <dataValidation allowBlank="true" errorStyle="stop" operator="between" showDropDown="false" showErrorMessage="false" showInputMessage="false" sqref="P5:P13" type="list">
      <formula1>"Not started,In progress,Review,Approved,Blocked,N/A"</formula1>
      <formula2>0</formula2>
    </dataValidation>
    <dataValidation allowBlank="true" errorStyle="stop" operator="between" showDropDown="false" showErrorMessage="false" showInputMessage="false" sqref="Q5:Q13" type="list">
      <formula1>"Not started,In progress,Review,Approved,Blocked,N/A"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B224"/>
    <pageSetUpPr fitToPage="false"/>
  </sheetPr>
  <dimension ref="A1:V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28"/>
    <col collapsed="false" customWidth="true" hidden="false" outlineLevel="0" max="4" min="4" style="1" width="13"/>
    <col collapsed="false" customWidth="true" hidden="false" outlineLevel="0" max="5" min="5" style="1" width="7"/>
    <col collapsed="false" customWidth="true" hidden="false" outlineLevel="0" max="6" min="6" style="1" width="32"/>
    <col collapsed="false" customWidth="true" hidden="false" outlineLevel="0" max="7" min="7" style="1" width="24"/>
    <col collapsed="false" customWidth="true" hidden="false" outlineLevel="0" max="8" min="8" style="1" width="34"/>
    <col collapsed="false" customWidth="true" hidden="false" outlineLevel="0" max="9" min="9" style="1" width="15"/>
    <col collapsed="false" customWidth="true" hidden="false" outlineLevel="0" max="10" min="10" style="1" width="40"/>
    <col collapsed="false" customWidth="true" hidden="false" outlineLevel="0" max="11" min="11" style="1" width="28"/>
    <col collapsed="false" customWidth="true" hidden="false" outlineLevel="0" max="12" min="12" style="1" width="22"/>
    <col collapsed="false" customWidth="true" hidden="false" outlineLevel="0" max="13" min="13" style="1" width="14"/>
    <col collapsed="false" customWidth="true" hidden="false" outlineLevel="0" max="14" min="14" style="1" width="9"/>
    <col collapsed="false" customWidth="true" hidden="false" outlineLevel="0" max="18" min="15" style="1" width="12"/>
    <col collapsed="false" customWidth="true" hidden="false" outlineLevel="0" max="19" min="19" style="1" width="13"/>
    <col collapsed="false" customWidth="true" hidden="false" outlineLevel="0" max="21" min="20" style="1" width="12"/>
    <col collapsed="false" customWidth="true" hidden="false" outlineLevel="0" max="22" min="22" style="1" width="26"/>
  </cols>
  <sheetData>
    <row r="1" customFormat="false" ht="25.5" hidden="false" customHeight="true" outlineLevel="0" collapsed="false">
      <c r="A1" s="2" t="s">
        <v>126</v>
      </c>
    </row>
    <row r="2" customFormat="false" ht="15" hidden="false" customHeight="true" outlineLevel="0" collapsed="false">
      <c r="A2" s="3" t="s">
        <v>127</v>
      </c>
    </row>
    <row r="4" customFormat="false" ht="31.5" hidden="false" customHeight="true" outlineLevel="0" collapsed="false">
      <c r="A4" s="5" t="s">
        <v>56</v>
      </c>
      <c r="B4" s="5" t="s">
        <v>128</v>
      </c>
      <c r="C4" s="5" t="s">
        <v>129</v>
      </c>
      <c r="D4" s="5" t="s">
        <v>62</v>
      </c>
      <c r="E4" s="5" t="s">
        <v>130</v>
      </c>
      <c r="F4" s="5" t="s">
        <v>131</v>
      </c>
      <c r="G4" s="5" t="s">
        <v>132</v>
      </c>
      <c r="H4" s="5" t="s">
        <v>133</v>
      </c>
      <c r="I4" s="5" t="s">
        <v>134</v>
      </c>
      <c r="J4" s="5" t="s">
        <v>135</v>
      </c>
      <c r="K4" s="5" t="s">
        <v>136</v>
      </c>
      <c r="L4" s="5" t="s">
        <v>137</v>
      </c>
      <c r="M4" s="5" t="s">
        <v>65</v>
      </c>
      <c r="N4" s="5" t="s">
        <v>66</v>
      </c>
      <c r="O4" s="5" t="s">
        <v>68</v>
      </c>
      <c r="P4" s="5" t="s">
        <v>69</v>
      </c>
      <c r="Q4" s="5" t="s">
        <v>70</v>
      </c>
      <c r="R4" s="5" t="s">
        <v>71</v>
      </c>
      <c r="S4" s="5" t="s">
        <v>72</v>
      </c>
      <c r="T4" s="5" t="s">
        <v>73</v>
      </c>
      <c r="U4" s="5" t="s">
        <v>75</v>
      </c>
      <c r="V4" s="5" t="s">
        <v>76</v>
      </c>
    </row>
    <row r="5" customFormat="false" ht="45.75" hidden="false" customHeight="true" outlineLevel="0" collapsed="false">
      <c r="A5" s="6" t="s">
        <v>138</v>
      </c>
      <c r="B5" s="6" t="s">
        <v>139</v>
      </c>
      <c r="C5" s="6" t="s">
        <v>140</v>
      </c>
      <c r="D5" s="6" t="s">
        <v>83</v>
      </c>
      <c r="E5" s="6" t="s">
        <v>141</v>
      </c>
      <c r="F5" s="6" t="s">
        <v>142</v>
      </c>
      <c r="G5" s="6" t="s">
        <v>143</v>
      </c>
      <c r="H5" s="6" t="s">
        <v>144</v>
      </c>
      <c r="I5" s="6" t="s">
        <v>145</v>
      </c>
      <c r="J5" s="6" t="s">
        <v>146</v>
      </c>
      <c r="K5" s="19"/>
      <c r="L5" s="6" t="s">
        <v>147</v>
      </c>
      <c r="M5" s="6" t="s">
        <v>148</v>
      </c>
      <c r="N5" s="6" t="s">
        <v>114</v>
      </c>
      <c r="O5" s="6" t="s">
        <v>38</v>
      </c>
      <c r="P5" s="6" t="s">
        <v>38</v>
      </c>
      <c r="Q5" s="6" t="s">
        <v>38</v>
      </c>
      <c r="R5" s="6" t="s">
        <v>38</v>
      </c>
      <c r="S5" s="6" t="s">
        <v>38</v>
      </c>
      <c r="T5" s="19"/>
      <c r="U5" s="19"/>
      <c r="V5" s="19"/>
    </row>
    <row r="6" customFormat="false" ht="34.5" hidden="false" customHeight="true" outlineLevel="0" collapsed="false">
      <c r="A6" s="6" t="s">
        <v>149</v>
      </c>
      <c r="B6" s="6" t="s">
        <v>150</v>
      </c>
      <c r="C6" s="6" t="s">
        <v>140</v>
      </c>
      <c r="D6" s="6" t="s">
        <v>83</v>
      </c>
      <c r="E6" s="6" t="s">
        <v>141</v>
      </c>
      <c r="F6" s="6" t="s">
        <v>142</v>
      </c>
      <c r="G6" s="6" t="s">
        <v>143</v>
      </c>
      <c r="H6" s="6" t="s">
        <v>144</v>
      </c>
      <c r="I6" s="6" t="s">
        <v>145</v>
      </c>
      <c r="J6" s="6" t="s">
        <v>151</v>
      </c>
      <c r="K6" s="19"/>
      <c r="L6" s="6" t="s">
        <v>147</v>
      </c>
      <c r="M6" s="6" t="s">
        <v>148</v>
      </c>
      <c r="N6" s="6" t="s">
        <v>114</v>
      </c>
      <c r="O6" s="6" t="s">
        <v>38</v>
      </c>
      <c r="P6" s="6" t="s">
        <v>38</v>
      </c>
      <c r="Q6" s="6" t="s">
        <v>38</v>
      </c>
      <c r="R6" s="6" t="s">
        <v>38</v>
      </c>
      <c r="S6" s="6" t="s">
        <v>38</v>
      </c>
      <c r="T6" s="19"/>
      <c r="U6" s="19"/>
      <c r="V6" s="19"/>
    </row>
    <row r="7" customFormat="false" ht="45.75" hidden="false" customHeight="true" outlineLevel="0" collapsed="false">
      <c r="A7" s="6" t="s">
        <v>152</v>
      </c>
      <c r="B7" s="6" t="s">
        <v>139</v>
      </c>
      <c r="C7" s="6" t="s">
        <v>153</v>
      </c>
      <c r="D7" s="6" t="s">
        <v>154</v>
      </c>
      <c r="E7" s="6" t="s">
        <v>155</v>
      </c>
      <c r="F7" s="6" t="s">
        <v>156</v>
      </c>
      <c r="G7" s="6" t="s">
        <v>157</v>
      </c>
      <c r="H7" s="6" t="s">
        <v>158</v>
      </c>
      <c r="I7" s="6" t="s">
        <v>145</v>
      </c>
      <c r="J7" s="6" t="s">
        <v>146</v>
      </c>
      <c r="K7" s="19"/>
      <c r="L7" s="6" t="s">
        <v>159</v>
      </c>
      <c r="M7" s="6" t="s">
        <v>148</v>
      </c>
      <c r="N7" s="6" t="s">
        <v>114</v>
      </c>
      <c r="O7" s="6" t="s">
        <v>38</v>
      </c>
      <c r="P7" s="6" t="s">
        <v>38</v>
      </c>
      <c r="Q7" s="6" t="s">
        <v>38</v>
      </c>
      <c r="R7" s="6" t="s">
        <v>38</v>
      </c>
      <c r="S7" s="6" t="s">
        <v>38</v>
      </c>
      <c r="T7" s="19"/>
      <c r="U7" s="19"/>
      <c r="V7" s="19"/>
    </row>
    <row r="8" customFormat="false" ht="34.5" hidden="false" customHeight="true" outlineLevel="0" collapsed="false">
      <c r="A8" s="6" t="s">
        <v>160</v>
      </c>
      <c r="B8" s="6" t="s">
        <v>150</v>
      </c>
      <c r="C8" s="6" t="s">
        <v>153</v>
      </c>
      <c r="D8" s="6" t="s">
        <v>154</v>
      </c>
      <c r="E8" s="6" t="s">
        <v>155</v>
      </c>
      <c r="F8" s="6" t="s">
        <v>156</v>
      </c>
      <c r="G8" s="6" t="s">
        <v>157</v>
      </c>
      <c r="H8" s="6" t="s">
        <v>158</v>
      </c>
      <c r="I8" s="6" t="s">
        <v>145</v>
      </c>
      <c r="J8" s="6" t="s">
        <v>151</v>
      </c>
      <c r="K8" s="19"/>
      <c r="L8" s="6" t="s">
        <v>159</v>
      </c>
      <c r="M8" s="6" t="s">
        <v>148</v>
      </c>
      <c r="N8" s="6" t="s">
        <v>114</v>
      </c>
      <c r="O8" s="6" t="s">
        <v>38</v>
      </c>
      <c r="P8" s="6" t="s">
        <v>38</v>
      </c>
      <c r="Q8" s="6" t="s">
        <v>38</v>
      </c>
      <c r="R8" s="6" t="s">
        <v>38</v>
      </c>
      <c r="S8" s="6" t="s">
        <v>38</v>
      </c>
      <c r="T8" s="19"/>
      <c r="U8" s="19"/>
      <c r="V8" s="19"/>
    </row>
    <row r="9" customFormat="false" ht="45.75" hidden="false" customHeight="true" outlineLevel="0" collapsed="false">
      <c r="A9" s="6" t="s">
        <v>161</v>
      </c>
      <c r="B9" s="6" t="s">
        <v>139</v>
      </c>
      <c r="C9" s="6" t="s">
        <v>162</v>
      </c>
      <c r="D9" s="6" t="s">
        <v>163</v>
      </c>
      <c r="E9" s="6" t="s">
        <v>164</v>
      </c>
      <c r="F9" s="6" t="s">
        <v>165</v>
      </c>
      <c r="G9" s="6" t="s">
        <v>166</v>
      </c>
      <c r="H9" s="6" t="s">
        <v>167</v>
      </c>
      <c r="I9" s="6" t="s">
        <v>145</v>
      </c>
      <c r="J9" s="6" t="s">
        <v>146</v>
      </c>
      <c r="K9" s="19"/>
      <c r="L9" s="6" t="s">
        <v>168</v>
      </c>
      <c r="M9" s="6" t="s">
        <v>148</v>
      </c>
      <c r="N9" s="6" t="s">
        <v>114</v>
      </c>
      <c r="O9" s="6" t="s">
        <v>38</v>
      </c>
      <c r="P9" s="6" t="s">
        <v>38</v>
      </c>
      <c r="Q9" s="6" t="s">
        <v>38</v>
      </c>
      <c r="R9" s="6" t="s">
        <v>38</v>
      </c>
      <c r="S9" s="6" t="s">
        <v>38</v>
      </c>
      <c r="T9" s="19"/>
      <c r="U9" s="19"/>
      <c r="V9" s="19"/>
    </row>
    <row r="10" customFormat="false" ht="34.5" hidden="false" customHeight="true" outlineLevel="0" collapsed="false">
      <c r="A10" s="6" t="s">
        <v>169</v>
      </c>
      <c r="B10" s="6" t="s">
        <v>150</v>
      </c>
      <c r="C10" s="6" t="s">
        <v>162</v>
      </c>
      <c r="D10" s="6" t="s">
        <v>163</v>
      </c>
      <c r="E10" s="6" t="s">
        <v>164</v>
      </c>
      <c r="F10" s="6" t="s">
        <v>165</v>
      </c>
      <c r="G10" s="6" t="s">
        <v>166</v>
      </c>
      <c r="H10" s="6" t="s">
        <v>167</v>
      </c>
      <c r="I10" s="6" t="s">
        <v>145</v>
      </c>
      <c r="J10" s="6" t="s">
        <v>151</v>
      </c>
      <c r="K10" s="19"/>
      <c r="L10" s="6" t="s">
        <v>168</v>
      </c>
      <c r="M10" s="6" t="s">
        <v>148</v>
      </c>
      <c r="N10" s="6" t="s">
        <v>114</v>
      </c>
      <c r="O10" s="6" t="s">
        <v>38</v>
      </c>
      <c r="P10" s="6" t="s">
        <v>38</v>
      </c>
      <c r="Q10" s="6" t="s">
        <v>38</v>
      </c>
      <c r="R10" s="6" t="s">
        <v>38</v>
      </c>
      <c r="S10" s="6" t="s">
        <v>38</v>
      </c>
      <c r="T10" s="19"/>
      <c r="U10" s="19"/>
      <c r="V10" s="19"/>
    </row>
    <row r="11" customFormat="false" ht="45.75" hidden="false" customHeight="true" outlineLevel="0" collapsed="false">
      <c r="A11" s="6" t="s">
        <v>170</v>
      </c>
      <c r="B11" s="6" t="s">
        <v>139</v>
      </c>
      <c r="C11" s="6" t="s">
        <v>171</v>
      </c>
      <c r="D11" s="6" t="s">
        <v>154</v>
      </c>
      <c r="E11" s="6" t="s">
        <v>172</v>
      </c>
      <c r="F11" s="6" t="s">
        <v>173</v>
      </c>
      <c r="G11" s="6" t="s">
        <v>174</v>
      </c>
      <c r="H11" s="6" t="s">
        <v>175</v>
      </c>
      <c r="I11" s="6" t="s">
        <v>176</v>
      </c>
      <c r="J11" s="6" t="s">
        <v>146</v>
      </c>
      <c r="K11" s="19"/>
      <c r="L11" s="6" t="s">
        <v>177</v>
      </c>
      <c r="M11" s="6" t="s">
        <v>148</v>
      </c>
      <c r="N11" s="6" t="s">
        <v>114</v>
      </c>
      <c r="O11" s="6" t="s">
        <v>38</v>
      </c>
      <c r="P11" s="6" t="s">
        <v>38</v>
      </c>
      <c r="Q11" s="6" t="s">
        <v>38</v>
      </c>
      <c r="R11" s="6" t="s">
        <v>38</v>
      </c>
      <c r="S11" s="6" t="s">
        <v>38</v>
      </c>
      <c r="T11" s="19"/>
      <c r="U11" s="19"/>
      <c r="V11" s="19"/>
    </row>
    <row r="12" customFormat="false" ht="34.5" hidden="false" customHeight="true" outlineLevel="0" collapsed="false">
      <c r="A12" s="6" t="s">
        <v>178</v>
      </c>
      <c r="B12" s="6" t="s">
        <v>150</v>
      </c>
      <c r="C12" s="6" t="s">
        <v>171</v>
      </c>
      <c r="D12" s="6" t="s">
        <v>154</v>
      </c>
      <c r="E12" s="6" t="s">
        <v>172</v>
      </c>
      <c r="F12" s="6" t="s">
        <v>173</v>
      </c>
      <c r="G12" s="6" t="s">
        <v>174</v>
      </c>
      <c r="H12" s="6" t="s">
        <v>175</v>
      </c>
      <c r="I12" s="6" t="s">
        <v>176</v>
      </c>
      <c r="J12" s="6" t="s">
        <v>151</v>
      </c>
      <c r="K12" s="19"/>
      <c r="L12" s="6" t="s">
        <v>177</v>
      </c>
      <c r="M12" s="6" t="s">
        <v>148</v>
      </c>
      <c r="N12" s="6" t="s">
        <v>114</v>
      </c>
      <c r="O12" s="6" t="s">
        <v>38</v>
      </c>
      <c r="P12" s="6" t="s">
        <v>38</v>
      </c>
      <c r="Q12" s="6" t="s">
        <v>38</v>
      </c>
      <c r="R12" s="6" t="s">
        <v>38</v>
      </c>
      <c r="S12" s="6" t="s">
        <v>38</v>
      </c>
      <c r="T12" s="19"/>
      <c r="U12" s="19"/>
      <c r="V12" s="19"/>
    </row>
    <row r="13" customFormat="false" ht="45.75" hidden="false" customHeight="true" outlineLevel="0" collapsed="false">
      <c r="A13" s="6" t="s">
        <v>179</v>
      </c>
      <c r="B13" s="6" t="s">
        <v>139</v>
      </c>
      <c r="C13" s="6" t="s">
        <v>180</v>
      </c>
      <c r="D13" s="6" t="s">
        <v>181</v>
      </c>
      <c r="E13" s="6" t="s">
        <v>182</v>
      </c>
      <c r="F13" s="6" t="s">
        <v>183</v>
      </c>
      <c r="G13" s="6" t="s">
        <v>184</v>
      </c>
      <c r="H13" s="6" t="s">
        <v>185</v>
      </c>
      <c r="I13" s="6" t="s">
        <v>176</v>
      </c>
      <c r="J13" s="6" t="s">
        <v>146</v>
      </c>
      <c r="K13" s="19"/>
      <c r="L13" s="6" t="s">
        <v>186</v>
      </c>
      <c r="M13" s="6" t="s">
        <v>148</v>
      </c>
      <c r="N13" s="6" t="s">
        <v>114</v>
      </c>
      <c r="O13" s="6" t="s">
        <v>38</v>
      </c>
      <c r="P13" s="6" t="s">
        <v>38</v>
      </c>
      <c r="Q13" s="6" t="s">
        <v>38</v>
      </c>
      <c r="R13" s="6" t="s">
        <v>38</v>
      </c>
      <c r="S13" s="6" t="s">
        <v>38</v>
      </c>
      <c r="T13" s="19"/>
      <c r="U13" s="19"/>
      <c r="V13" s="19"/>
    </row>
    <row r="14" customFormat="false" ht="34.5" hidden="false" customHeight="true" outlineLevel="0" collapsed="false">
      <c r="A14" s="6" t="s">
        <v>187</v>
      </c>
      <c r="B14" s="6" t="s">
        <v>150</v>
      </c>
      <c r="C14" s="6" t="s">
        <v>180</v>
      </c>
      <c r="D14" s="6" t="s">
        <v>181</v>
      </c>
      <c r="E14" s="6" t="s">
        <v>182</v>
      </c>
      <c r="F14" s="6" t="s">
        <v>183</v>
      </c>
      <c r="G14" s="6" t="s">
        <v>184</v>
      </c>
      <c r="H14" s="6" t="s">
        <v>185</v>
      </c>
      <c r="I14" s="6" t="s">
        <v>176</v>
      </c>
      <c r="J14" s="6" t="s">
        <v>151</v>
      </c>
      <c r="K14" s="19"/>
      <c r="L14" s="6" t="s">
        <v>186</v>
      </c>
      <c r="M14" s="6" t="s">
        <v>148</v>
      </c>
      <c r="N14" s="6" t="s">
        <v>114</v>
      </c>
      <c r="O14" s="6" t="s">
        <v>38</v>
      </c>
      <c r="P14" s="6" t="s">
        <v>38</v>
      </c>
      <c r="Q14" s="6" t="s">
        <v>38</v>
      </c>
      <c r="R14" s="6" t="s">
        <v>38</v>
      </c>
      <c r="S14" s="6" t="s">
        <v>38</v>
      </c>
      <c r="T14" s="19"/>
      <c r="U14" s="19"/>
      <c r="V14" s="19"/>
    </row>
    <row r="15" customFormat="false" ht="45.75" hidden="false" customHeight="true" outlineLevel="0" collapsed="false">
      <c r="A15" s="6" t="s">
        <v>188</v>
      </c>
      <c r="B15" s="6" t="s">
        <v>139</v>
      </c>
      <c r="C15" s="6" t="s">
        <v>189</v>
      </c>
      <c r="D15" s="6" t="s">
        <v>190</v>
      </c>
      <c r="E15" s="6" t="s">
        <v>191</v>
      </c>
      <c r="F15" s="6" t="s">
        <v>192</v>
      </c>
      <c r="G15" s="6" t="s">
        <v>193</v>
      </c>
      <c r="H15" s="6" t="s">
        <v>194</v>
      </c>
      <c r="I15" s="6" t="s">
        <v>176</v>
      </c>
      <c r="J15" s="6" t="s">
        <v>146</v>
      </c>
      <c r="K15" s="19"/>
      <c r="L15" s="6" t="s">
        <v>195</v>
      </c>
      <c r="M15" s="6" t="s">
        <v>148</v>
      </c>
      <c r="N15" s="6" t="s">
        <v>114</v>
      </c>
      <c r="O15" s="6" t="s">
        <v>38</v>
      </c>
      <c r="P15" s="6" t="s">
        <v>38</v>
      </c>
      <c r="Q15" s="6" t="s">
        <v>38</v>
      </c>
      <c r="R15" s="6" t="s">
        <v>38</v>
      </c>
      <c r="S15" s="6" t="s">
        <v>38</v>
      </c>
      <c r="T15" s="19"/>
      <c r="U15" s="19"/>
      <c r="V15" s="19"/>
    </row>
    <row r="16" customFormat="false" ht="34.5" hidden="false" customHeight="true" outlineLevel="0" collapsed="false">
      <c r="A16" s="6" t="s">
        <v>196</v>
      </c>
      <c r="B16" s="6" t="s">
        <v>150</v>
      </c>
      <c r="C16" s="6" t="s">
        <v>189</v>
      </c>
      <c r="D16" s="6" t="s">
        <v>190</v>
      </c>
      <c r="E16" s="6" t="s">
        <v>191</v>
      </c>
      <c r="F16" s="6" t="s">
        <v>192</v>
      </c>
      <c r="G16" s="6" t="s">
        <v>193</v>
      </c>
      <c r="H16" s="6" t="s">
        <v>194</v>
      </c>
      <c r="I16" s="6" t="s">
        <v>176</v>
      </c>
      <c r="J16" s="6" t="s">
        <v>151</v>
      </c>
      <c r="K16" s="19"/>
      <c r="L16" s="6" t="s">
        <v>195</v>
      </c>
      <c r="M16" s="6" t="s">
        <v>148</v>
      </c>
      <c r="N16" s="6" t="s">
        <v>114</v>
      </c>
      <c r="O16" s="6" t="s">
        <v>38</v>
      </c>
      <c r="P16" s="6" t="s">
        <v>38</v>
      </c>
      <c r="Q16" s="6" t="s">
        <v>38</v>
      </c>
      <c r="R16" s="6" t="s">
        <v>38</v>
      </c>
      <c r="S16" s="6" t="s">
        <v>38</v>
      </c>
      <c r="T16" s="19"/>
      <c r="U16" s="19"/>
      <c r="V16" s="19"/>
    </row>
    <row r="17" customFormat="false" ht="45.75" hidden="false" customHeight="true" outlineLevel="0" collapsed="false">
      <c r="A17" s="6" t="s">
        <v>197</v>
      </c>
      <c r="B17" s="6" t="s">
        <v>139</v>
      </c>
      <c r="C17" s="6" t="s">
        <v>198</v>
      </c>
      <c r="D17" s="6" t="s">
        <v>199</v>
      </c>
      <c r="E17" s="6" t="s">
        <v>200</v>
      </c>
      <c r="F17" s="6" t="s">
        <v>201</v>
      </c>
      <c r="G17" s="6" t="s">
        <v>202</v>
      </c>
      <c r="H17" s="6" t="s">
        <v>203</v>
      </c>
      <c r="I17" s="6" t="s">
        <v>204</v>
      </c>
      <c r="J17" s="6" t="s">
        <v>146</v>
      </c>
      <c r="K17" s="19"/>
      <c r="L17" s="6" t="s">
        <v>205</v>
      </c>
      <c r="M17" s="6" t="s">
        <v>148</v>
      </c>
      <c r="N17" s="6" t="s">
        <v>114</v>
      </c>
      <c r="O17" s="6" t="s">
        <v>38</v>
      </c>
      <c r="P17" s="6" t="s">
        <v>38</v>
      </c>
      <c r="Q17" s="6" t="s">
        <v>38</v>
      </c>
      <c r="R17" s="6" t="s">
        <v>38</v>
      </c>
      <c r="S17" s="6" t="s">
        <v>38</v>
      </c>
      <c r="T17" s="19"/>
      <c r="U17" s="19"/>
      <c r="V17" s="19"/>
    </row>
    <row r="18" customFormat="false" ht="34.5" hidden="false" customHeight="true" outlineLevel="0" collapsed="false">
      <c r="A18" s="6" t="s">
        <v>206</v>
      </c>
      <c r="B18" s="6" t="s">
        <v>150</v>
      </c>
      <c r="C18" s="6" t="s">
        <v>198</v>
      </c>
      <c r="D18" s="6" t="s">
        <v>199</v>
      </c>
      <c r="E18" s="6" t="s">
        <v>200</v>
      </c>
      <c r="F18" s="6" t="s">
        <v>201</v>
      </c>
      <c r="G18" s="6" t="s">
        <v>202</v>
      </c>
      <c r="H18" s="6" t="s">
        <v>203</v>
      </c>
      <c r="I18" s="6" t="s">
        <v>204</v>
      </c>
      <c r="J18" s="6" t="s">
        <v>151</v>
      </c>
      <c r="K18" s="19"/>
      <c r="L18" s="6" t="s">
        <v>205</v>
      </c>
      <c r="M18" s="6" t="s">
        <v>148</v>
      </c>
      <c r="N18" s="6" t="s">
        <v>114</v>
      </c>
      <c r="O18" s="6" t="s">
        <v>38</v>
      </c>
      <c r="P18" s="6" t="s">
        <v>38</v>
      </c>
      <c r="Q18" s="6" t="s">
        <v>38</v>
      </c>
      <c r="R18" s="6" t="s">
        <v>38</v>
      </c>
      <c r="S18" s="6" t="s">
        <v>38</v>
      </c>
      <c r="T18" s="19"/>
      <c r="U18" s="19"/>
      <c r="V18" s="19"/>
    </row>
    <row r="19" customFormat="false" ht="45.75" hidden="false" customHeight="true" outlineLevel="0" collapsed="false">
      <c r="A19" s="6" t="s">
        <v>207</v>
      </c>
      <c r="B19" s="6" t="s">
        <v>139</v>
      </c>
      <c r="C19" s="6" t="s">
        <v>208</v>
      </c>
      <c r="D19" s="6" t="s">
        <v>209</v>
      </c>
      <c r="E19" s="6" t="s">
        <v>210</v>
      </c>
      <c r="F19" s="6" t="s">
        <v>211</v>
      </c>
      <c r="G19" s="6" t="s">
        <v>212</v>
      </c>
      <c r="H19" s="6" t="s">
        <v>213</v>
      </c>
      <c r="I19" s="6" t="s">
        <v>176</v>
      </c>
      <c r="J19" s="6" t="s">
        <v>146</v>
      </c>
      <c r="K19" s="19"/>
      <c r="L19" s="6" t="s">
        <v>214</v>
      </c>
      <c r="M19" s="6" t="s">
        <v>148</v>
      </c>
      <c r="N19" s="6" t="s">
        <v>114</v>
      </c>
      <c r="O19" s="6" t="s">
        <v>38</v>
      </c>
      <c r="P19" s="6" t="s">
        <v>38</v>
      </c>
      <c r="Q19" s="6" t="s">
        <v>38</v>
      </c>
      <c r="R19" s="6" t="s">
        <v>38</v>
      </c>
      <c r="S19" s="6" t="s">
        <v>38</v>
      </c>
      <c r="T19" s="19"/>
      <c r="U19" s="19"/>
      <c r="V19" s="19"/>
    </row>
    <row r="20" customFormat="false" ht="34.5" hidden="false" customHeight="true" outlineLevel="0" collapsed="false">
      <c r="A20" s="6" t="s">
        <v>215</v>
      </c>
      <c r="B20" s="6" t="s">
        <v>150</v>
      </c>
      <c r="C20" s="6" t="s">
        <v>208</v>
      </c>
      <c r="D20" s="6" t="s">
        <v>209</v>
      </c>
      <c r="E20" s="6" t="s">
        <v>210</v>
      </c>
      <c r="F20" s="6" t="s">
        <v>211</v>
      </c>
      <c r="G20" s="6" t="s">
        <v>212</v>
      </c>
      <c r="H20" s="6" t="s">
        <v>213</v>
      </c>
      <c r="I20" s="6" t="s">
        <v>176</v>
      </c>
      <c r="J20" s="6" t="s">
        <v>151</v>
      </c>
      <c r="K20" s="19"/>
      <c r="L20" s="6" t="s">
        <v>214</v>
      </c>
      <c r="M20" s="6" t="s">
        <v>148</v>
      </c>
      <c r="N20" s="6" t="s">
        <v>114</v>
      </c>
      <c r="O20" s="6" t="s">
        <v>38</v>
      </c>
      <c r="P20" s="6" t="s">
        <v>38</v>
      </c>
      <c r="Q20" s="6" t="s">
        <v>38</v>
      </c>
      <c r="R20" s="6" t="s">
        <v>38</v>
      </c>
      <c r="S20" s="6" t="s">
        <v>38</v>
      </c>
      <c r="T20" s="19"/>
      <c r="U20" s="19"/>
      <c r="V20" s="19"/>
    </row>
  </sheetData>
  <autoFilter ref="A4:V20"/>
  <conditionalFormatting sqref="O5:O20">
    <cfRule type="expression" priority="2" aboveAverage="0" equalAverage="0" bottom="0" percent="0" rank="0" text="" dxfId="7">
      <formula>O5="Not started"</formula>
    </cfRule>
    <cfRule type="expression" priority="3" aboveAverage="0" equalAverage="0" bottom="0" percent="0" rank="0" text="" dxfId="8">
      <formula>O5="In progress"</formula>
    </cfRule>
    <cfRule type="expression" priority="4" aboveAverage="0" equalAverage="0" bottom="0" percent="0" rank="0" text="" dxfId="9">
      <formula>O5="Review"</formula>
    </cfRule>
    <cfRule type="expression" priority="5" aboveAverage="0" equalAverage="0" bottom="0" percent="0" rank="0" text="" dxfId="10">
      <formula>O5="Approved"</formula>
    </cfRule>
    <cfRule type="expression" priority="6" aboveAverage="0" equalAverage="0" bottom="0" percent="0" rank="0" text="" dxfId="11">
      <formula>O5="Blocked"</formula>
    </cfRule>
    <cfRule type="expression" priority="7" aboveAverage="0" equalAverage="0" bottom="0" percent="0" rank="0" text="" dxfId="12">
      <formula>O5="N/A"</formula>
    </cfRule>
  </conditionalFormatting>
  <conditionalFormatting sqref="P5:P20">
    <cfRule type="expression" priority="8" aboveAverage="0" equalAverage="0" bottom="0" percent="0" rank="0" text="" dxfId="7">
      <formula>P5="Not started"</formula>
    </cfRule>
    <cfRule type="expression" priority="9" aboveAverage="0" equalAverage="0" bottom="0" percent="0" rank="0" text="" dxfId="8">
      <formula>P5="In progress"</formula>
    </cfRule>
    <cfRule type="expression" priority="10" aboveAverage="0" equalAverage="0" bottom="0" percent="0" rank="0" text="" dxfId="9">
      <formula>P5="Review"</formula>
    </cfRule>
    <cfRule type="expression" priority="11" aboveAverage="0" equalAverage="0" bottom="0" percent="0" rank="0" text="" dxfId="10">
      <formula>P5="Approved"</formula>
    </cfRule>
    <cfRule type="expression" priority="12" aboveAverage="0" equalAverage="0" bottom="0" percent="0" rank="0" text="" dxfId="11">
      <formula>P5="Blocked"</formula>
    </cfRule>
    <cfRule type="expression" priority="13" aboveAverage="0" equalAverage="0" bottom="0" percent="0" rank="0" text="" dxfId="12">
      <formula>P5="N/A"</formula>
    </cfRule>
  </conditionalFormatting>
  <conditionalFormatting sqref="Q5:Q20">
    <cfRule type="expression" priority="14" aboveAverage="0" equalAverage="0" bottom="0" percent="0" rank="0" text="" dxfId="7">
      <formula>Q5="Not started"</formula>
    </cfRule>
    <cfRule type="expression" priority="15" aboveAverage="0" equalAverage="0" bottom="0" percent="0" rank="0" text="" dxfId="8">
      <formula>Q5="In progress"</formula>
    </cfRule>
    <cfRule type="expression" priority="16" aboveAverage="0" equalAverage="0" bottom="0" percent="0" rank="0" text="" dxfId="9">
      <formula>Q5="Review"</formula>
    </cfRule>
    <cfRule type="expression" priority="17" aboveAverage="0" equalAverage="0" bottom="0" percent="0" rank="0" text="" dxfId="10">
      <formula>Q5="Approved"</formula>
    </cfRule>
    <cfRule type="expression" priority="18" aboveAverage="0" equalAverage="0" bottom="0" percent="0" rank="0" text="" dxfId="11">
      <formula>Q5="Blocked"</formula>
    </cfRule>
    <cfRule type="expression" priority="19" aboveAverage="0" equalAverage="0" bottom="0" percent="0" rank="0" text="" dxfId="12">
      <formula>Q5="N/A"</formula>
    </cfRule>
  </conditionalFormatting>
  <conditionalFormatting sqref="R5:R20">
    <cfRule type="expression" priority="20" aboveAverage="0" equalAverage="0" bottom="0" percent="0" rank="0" text="" dxfId="7">
      <formula>R5="Not started"</formula>
    </cfRule>
    <cfRule type="expression" priority="21" aboveAverage="0" equalAverage="0" bottom="0" percent="0" rank="0" text="" dxfId="8">
      <formula>R5="In progress"</formula>
    </cfRule>
    <cfRule type="expression" priority="22" aboveAverage="0" equalAverage="0" bottom="0" percent="0" rank="0" text="" dxfId="9">
      <formula>R5="Review"</formula>
    </cfRule>
    <cfRule type="expression" priority="23" aboveAverage="0" equalAverage="0" bottom="0" percent="0" rank="0" text="" dxfId="10">
      <formula>R5="Approved"</formula>
    </cfRule>
    <cfRule type="expression" priority="24" aboveAverage="0" equalAverage="0" bottom="0" percent="0" rank="0" text="" dxfId="11">
      <formula>R5="Blocked"</formula>
    </cfRule>
    <cfRule type="expression" priority="25" aboveAverage="0" equalAverage="0" bottom="0" percent="0" rank="0" text="" dxfId="12">
      <formula>R5="N/A"</formula>
    </cfRule>
  </conditionalFormatting>
  <conditionalFormatting sqref="S5:S20">
    <cfRule type="expression" priority="26" aboveAverage="0" equalAverage="0" bottom="0" percent="0" rank="0" text="" dxfId="7">
      <formula>S5="Not started"</formula>
    </cfRule>
    <cfRule type="expression" priority="27" aboveAverage="0" equalAverage="0" bottom="0" percent="0" rank="0" text="" dxfId="8">
      <formula>S5="In progress"</formula>
    </cfRule>
    <cfRule type="expression" priority="28" aboveAverage="0" equalAverage="0" bottom="0" percent="0" rank="0" text="" dxfId="9">
      <formula>S5="Review"</formula>
    </cfRule>
    <cfRule type="expression" priority="29" aboveAverage="0" equalAverage="0" bottom="0" percent="0" rank="0" text="" dxfId="10">
      <formula>S5="Approved"</formula>
    </cfRule>
    <cfRule type="expression" priority="30" aboveAverage="0" equalAverage="0" bottom="0" percent="0" rank="0" text="" dxfId="11">
      <formula>S5="Blocked"</formula>
    </cfRule>
    <cfRule type="expression" priority="31" aboveAverage="0" equalAverage="0" bottom="0" percent="0" rank="0" text="" dxfId="12">
      <formula>S5="N/A"</formula>
    </cfRule>
  </conditionalFormatting>
  <dataValidations count="5">
    <dataValidation allowBlank="true" errorStyle="stop" operator="between" showDropDown="false" showErrorMessage="false" showInputMessage="false" sqref="O5:O20" type="list">
      <formula1>"Not started,In progress,Review,Approved,Blocked,N/A"</formula1>
      <formula2>0</formula2>
    </dataValidation>
    <dataValidation allowBlank="true" errorStyle="stop" operator="between" showDropDown="false" showErrorMessage="false" showInputMessage="false" sqref="P5:P20" type="list">
      <formula1>"Not started,In progress,Review,Approved,Blocked,N/A"</formula1>
      <formula2>0</formula2>
    </dataValidation>
    <dataValidation allowBlank="true" errorStyle="stop" operator="between" showDropDown="false" showErrorMessage="false" showInputMessage="false" sqref="Q5:Q20" type="list">
      <formula1>"Not started,In progress,Review,Approved,Blocked,N/A"</formula1>
      <formula2>0</formula2>
    </dataValidation>
    <dataValidation allowBlank="true" errorStyle="stop" operator="between" showDropDown="false" showErrorMessage="false" showInputMessage="false" sqref="R5:R20" type="list">
      <formula1>"Not started,In progress,Review,Approved,Blocked,N/A"</formula1>
      <formula2>0</formula2>
    </dataValidation>
    <dataValidation allowBlank="true" errorStyle="stop" operator="between" showDropDown="false" showErrorMessage="false" showInputMessage="false" sqref="S5:S20" type="list">
      <formula1>"Not started,In progress,Review,Approved,Blocked,N/A"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5484D"/>
    <pageSetUpPr fitToPage="false"/>
  </sheetPr>
  <dimension ref="A1:O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8"/>
    <col collapsed="false" customWidth="true" hidden="false" outlineLevel="0" max="3" min="3" style="1" width="46"/>
    <col collapsed="false" customWidth="true" hidden="false" outlineLevel="0" max="4" min="4" style="1" width="30"/>
    <col collapsed="false" customWidth="true" hidden="false" outlineLevel="0" max="5" min="5" style="1" width="28"/>
    <col collapsed="false" customWidth="true" hidden="false" outlineLevel="0" max="6" min="6" style="1" width="18"/>
    <col collapsed="false" customWidth="true" hidden="false" outlineLevel="0" max="7" min="7" style="1" width="30"/>
    <col collapsed="false" customWidth="true" hidden="false" outlineLevel="0" max="8" min="8" style="1" width="12"/>
    <col collapsed="false" customWidth="true" hidden="false" outlineLevel="0" max="9" min="9" style="1" width="24"/>
    <col collapsed="false" customWidth="true" hidden="false" outlineLevel="0" max="11" min="10" style="1" width="12"/>
    <col collapsed="false" customWidth="true" hidden="false" outlineLevel="0" max="12" min="12" style="1" width="13"/>
    <col collapsed="false" customWidth="true" hidden="false" outlineLevel="0" max="14" min="13" style="1" width="12"/>
    <col collapsed="false" customWidth="true" hidden="false" outlineLevel="0" max="15" min="15" style="1" width="30"/>
  </cols>
  <sheetData>
    <row r="1" customFormat="false" ht="25.5" hidden="false" customHeight="true" outlineLevel="0" collapsed="false">
      <c r="A1" s="2" t="s">
        <v>216</v>
      </c>
    </row>
    <row r="2" customFormat="false" ht="15" hidden="false" customHeight="true" outlineLevel="0" collapsed="false">
      <c r="A2" s="3" t="s">
        <v>217</v>
      </c>
    </row>
    <row r="4" customFormat="false" ht="31.5" hidden="false" customHeight="true" outlineLevel="0" collapsed="false">
      <c r="A4" s="5" t="s">
        <v>56</v>
      </c>
      <c r="B4" s="5" t="s">
        <v>128</v>
      </c>
      <c r="C4" s="5" t="s">
        <v>135</v>
      </c>
      <c r="D4" s="5" t="s">
        <v>218</v>
      </c>
      <c r="E4" s="5" t="s">
        <v>66</v>
      </c>
      <c r="F4" s="5" t="s">
        <v>65</v>
      </c>
      <c r="G4" s="5" t="s">
        <v>219</v>
      </c>
      <c r="H4" s="5" t="s">
        <v>68</v>
      </c>
      <c r="I4" s="5" t="s">
        <v>69</v>
      </c>
      <c r="J4" s="5" t="s">
        <v>70</v>
      </c>
      <c r="K4" s="5" t="s">
        <v>71</v>
      </c>
      <c r="L4" s="5" t="s">
        <v>72</v>
      </c>
      <c r="M4" s="5" t="s">
        <v>73</v>
      </c>
      <c r="N4" s="5" t="s">
        <v>75</v>
      </c>
      <c r="O4" s="5" t="s">
        <v>76</v>
      </c>
    </row>
    <row r="5" customFormat="false" ht="23.25" hidden="false" customHeight="true" outlineLevel="0" collapsed="false">
      <c r="A5" s="6" t="s">
        <v>220</v>
      </c>
      <c r="B5" s="6" t="s">
        <v>139</v>
      </c>
      <c r="C5" s="6" t="s">
        <v>221</v>
      </c>
      <c r="D5" s="6" t="s">
        <v>222</v>
      </c>
      <c r="E5" s="6" t="s">
        <v>223</v>
      </c>
      <c r="F5" s="6" t="s">
        <v>224</v>
      </c>
      <c r="G5" s="6" t="s">
        <v>225</v>
      </c>
      <c r="H5" s="6" t="s">
        <v>38</v>
      </c>
      <c r="I5" s="6" t="s">
        <v>38</v>
      </c>
      <c r="J5" s="6" t="s">
        <v>38</v>
      </c>
      <c r="K5" s="6" t="s">
        <v>38</v>
      </c>
      <c r="L5" s="6" t="s">
        <v>38</v>
      </c>
      <c r="M5" s="19"/>
      <c r="N5" s="19"/>
      <c r="O5" s="19" t="s">
        <v>226</v>
      </c>
    </row>
    <row r="6" customFormat="false" ht="23.25" hidden="false" customHeight="true" outlineLevel="0" collapsed="false">
      <c r="A6" s="6" t="s">
        <v>227</v>
      </c>
      <c r="B6" s="6" t="s">
        <v>150</v>
      </c>
      <c r="C6" s="6" t="s">
        <v>228</v>
      </c>
      <c r="D6" s="6" t="s">
        <v>229</v>
      </c>
      <c r="E6" s="6" t="s">
        <v>223</v>
      </c>
      <c r="F6" s="6" t="s">
        <v>224</v>
      </c>
      <c r="G6" s="6" t="s">
        <v>230</v>
      </c>
      <c r="H6" s="6" t="s">
        <v>38</v>
      </c>
      <c r="I6" s="6" t="s">
        <v>38</v>
      </c>
      <c r="J6" s="6" t="s">
        <v>38</v>
      </c>
      <c r="K6" s="6" t="s">
        <v>38</v>
      </c>
      <c r="L6" s="6" t="s">
        <v>38</v>
      </c>
      <c r="M6" s="19"/>
      <c r="N6" s="19"/>
      <c r="O6" s="19" t="s">
        <v>231</v>
      </c>
    </row>
    <row r="8" customFormat="false" ht="15" hidden="false" customHeight="true" outlineLevel="0" collapsed="false">
      <c r="A8" s="4" t="s">
        <v>232</v>
      </c>
    </row>
    <row r="9" customFormat="false" ht="31.5" hidden="false" customHeight="true" outlineLevel="0" collapsed="false">
      <c r="A9" s="5" t="s">
        <v>233</v>
      </c>
      <c r="B9" s="5" t="s">
        <v>234</v>
      </c>
      <c r="C9" s="5" t="s">
        <v>235</v>
      </c>
      <c r="D9" s="5" t="s">
        <v>236</v>
      </c>
      <c r="E9" s="5" t="s">
        <v>237</v>
      </c>
      <c r="F9" s="5" t="s">
        <v>238</v>
      </c>
      <c r="G9" s="5" t="s">
        <v>239</v>
      </c>
      <c r="H9" s="5" t="s">
        <v>240</v>
      </c>
      <c r="I9" s="5" t="s">
        <v>76</v>
      </c>
    </row>
    <row r="10" customFormat="false" ht="23.25" hidden="false" customHeight="true" outlineLevel="0" collapsed="false">
      <c r="A10" s="6" t="n">
        <v>1</v>
      </c>
      <c r="B10" s="6" t="s">
        <v>241</v>
      </c>
      <c r="C10" s="6" t="s">
        <v>242</v>
      </c>
      <c r="D10" s="6" t="s">
        <v>243</v>
      </c>
      <c r="E10" s="6" t="s">
        <v>244</v>
      </c>
      <c r="F10" s="6" t="s">
        <v>245</v>
      </c>
      <c r="G10" s="6" t="s">
        <v>246</v>
      </c>
      <c r="H10" s="6" t="s">
        <v>38</v>
      </c>
      <c r="I10" s="19"/>
    </row>
    <row r="11" customFormat="false" ht="15" hidden="false" customHeight="true" outlineLevel="0" collapsed="false">
      <c r="A11" s="6" t="n">
        <v>2</v>
      </c>
      <c r="B11" s="6" t="s">
        <v>247</v>
      </c>
      <c r="C11" s="6" t="s">
        <v>248</v>
      </c>
      <c r="D11" s="6" t="s">
        <v>249</v>
      </c>
      <c r="E11" s="6" t="s">
        <v>250</v>
      </c>
      <c r="F11" s="6" t="s">
        <v>145</v>
      </c>
      <c r="G11" s="6" t="s">
        <v>251</v>
      </c>
      <c r="H11" s="6" t="s">
        <v>38</v>
      </c>
      <c r="I11" s="19"/>
    </row>
    <row r="12" customFormat="false" ht="15" hidden="false" customHeight="true" outlineLevel="0" collapsed="false">
      <c r="A12" s="6" t="n">
        <v>3</v>
      </c>
      <c r="B12" s="6" t="s">
        <v>252</v>
      </c>
      <c r="C12" s="6" t="s">
        <v>253</v>
      </c>
      <c r="D12" s="6" t="s">
        <v>254</v>
      </c>
      <c r="E12" s="6" t="s">
        <v>255</v>
      </c>
      <c r="F12" s="6" t="s">
        <v>256</v>
      </c>
      <c r="G12" s="6" t="s">
        <v>257</v>
      </c>
      <c r="H12" s="6" t="s">
        <v>38</v>
      </c>
      <c r="I12" s="19"/>
    </row>
    <row r="13" customFormat="false" ht="15" hidden="false" customHeight="true" outlineLevel="0" collapsed="false">
      <c r="A13" s="6" t="n">
        <v>4</v>
      </c>
      <c r="B13" s="6" t="s">
        <v>258</v>
      </c>
      <c r="C13" s="6" t="s">
        <v>259</v>
      </c>
      <c r="D13" s="6" t="s">
        <v>260</v>
      </c>
      <c r="E13" s="6" t="s">
        <v>261</v>
      </c>
      <c r="F13" s="6" t="s">
        <v>204</v>
      </c>
      <c r="G13" s="6" t="s">
        <v>262</v>
      </c>
      <c r="H13" s="6" t="s">
        <v>38</v>
      </c>
      <c r="I13" s="19"/>
    </row>
    <row r="14" customFormat="false" ht="15" hidden="false" customHeight="true" outlineLevel="0" collapsed="false">
      <c r="A14" s="6" t="n">
        <v>5</v>
      </c>
      <c r="B14" s="6" t="s">
        <v>263</v>
      </c>
      <c r="C14" s="6" t="s">
        <v>264</v>
      </c>
      <c r="D14" s="6" t="s">
        <v>265</v>
      </c>
      <c r="E14" s="6" t="s">
        <v>266</v>
      </c>
      <c r="F14" s="6" t="s">
        <v>199</v>
      </c>
      <c r="G14" s="6" t="s">
        <v>267</v>
      </c>
      <c r="H14" s="6" t="s">
        <v>38</v>
      </c>
      <c r="I14" s="19"/>
    </row>
  </sheetData>
  <autoFilter ref="A9:I14"/>
  <conditionalFormatting sqref="H5:H6">
    <cfRule type="expression" priority="2" aboveAverage="0" equalAverage="0" bottom="0" percent="0" rank="0" text="" dxfId="7">
      <formula>H5="Not started"</formula>
    </cfRule>
    <cfRule type="expression" priority="3" aboveAverage="0" equalAverage="0" bottom="0" percent="0" rank="0" text="" dxfId="8">
      <formula>H5="In progress"</formula>
    </cfRule>
    <cfRule type="expression" priority="4" aboveAverage="0" equalAverage="0" bottom="0" percent="0" rank="0" text="" dxfId="9">
      <formula>H5="Review"</formula>
    </cfRule>
    <cfRule type="expression" priority="5" aboveAverage="0" equalAverage="0" bottom="0" percent="0" rank="0" text="" dxfId="10">
      <formula>H5="Approved"</formula>
    </cfRule>
    <cfRule type="expression" priority="6" aboveAverage="0" equalAverage="0" bottom="0" percent="0" rank="0" text="" dxfId="11">
      <formula>H5="Blocked"</formula>
    </cfRule>
    <cfRule type="expression" priority="7" aboveAverage="0" equalAverage="0" bottom="0" percent="0" rank="0" text="" dxfId="12">
      <formula>H5="N/A"</formula>
    </cfRule>
  </conditionalFormatting>
  <conditionalFormatting sqref="I5:I6">
    <cfRule type="expression" priority="8" aboveAverage="0" equalAverage="0" bottom="0" percent="0" rank="0" text="" dxfId="7">
      <formula>I5="Not started"</formula>
    </cfRule>
    <cfRule type="expression" priority="9" aboveAverage="0" equalAverage="0" bottom="0" percent="0" rank="0" text="" dxfId="8">
      <formula>I5="In progress"</formula>
    </cfRule>
    <cfRule type="expression" priority="10" aboveAverage="0" equalAverage="0" bottom="0" percent="0" rank="0" text="" dxfId="9">
      <formula>I5="Review"</formula>
    </cfRule>
    <cfRule type="expression" priority="11" aboveAverage="0" equalAverage="0" bottom="0" percent="0" rank="0" text="" dxfId="10">
      <formula>I5="Approved"</formula>
    </cfRule>
    <cfRule type="expression" priority="12" aboveAverage="0" equalAverage="0" bottom="0" percent="0" rank="0" text="" dxfId="11">
      <formula>I5="Blocked"</formula>
    </cfRule>
    <cfRule type="expression" priority="13" aboveAverage="0" equalAverage="0" bottom="0" percent="0" rank="0" text="" dxfId="12">
      <formula>I5="N/A"</formula>
    </cfRule>
  </conditionalFormatting>
  <conditionalFormatting sqref="J5:J6">
    <cfRule type="expression" priority="14" aboveAverage="0" equalAverage="0" bottom="0" percent="0" rank="0" text="" dxfId="7">
      <formula>J5="Not started"</formula>
    </cfRule>
    <cfRule type="expression" priority="15" aboveAverage="0" equalAverage="0" bottom="0" percent="0" rank="0" text="" dxfId="8">
      <formula>J5="In progress"</formula>
    </cfRule>
    <cfRule type="expression" priority="16" aboveAverage="0" equalAverage="0" bottom="0" percent="0" rank="0" text="" dxfId="9">
      <formula>J5="Review"</formula>
    </cfRule>
    <cfRule type="expression" priority="17" aboveAverage="0" equalAverage="0" bottom="0" percent="0" rank="0" text="" dxfId="10">
      <formula>J5="Approved"</formula>
    </cfRule>
    <cfRule type="expression" priority="18" aboveAverage="0" equalAverage="0" bottom="0" percent="0" rank="0" text="" dxfId="11">
      <formula>J5="Blocked"</formula>
    </cfRule>
    <cfRule type="expression" priority="19" aboveAverage="0" equalAverage="0" bottom="0" percent="0" rank="0" text="" dxfId="12">
      <formula>J5="N/A"</formula>
    </cfRule>
  </conditionalFormatting>
  <conditionalFormatting sqref="K5:K6">
    <cfRule type="expression" priority="20" aboveAverage="0" equalAverage="0" bottom="0" percent="0" rank="0" text="" dxfId="7">
      <formula>K5="Not started"</formula>
    </cfRule>
    <cfRule type="expression" priority="21" aboveAverage="0" equalAverage="0" bottom="0" percent="0" rank="0" text="" dxfId="8">
      <formula>K5="In progress"</formula>
    </cfRule>
    <cfRule type="expression" priority="22" aboveAverage="0" equalAverage="0" bottom="0" percent="0" rank="0" text="" dxfId="9">
      <formula>K5="Review"</formula>
    </cfRule>
    <cfRule type="expression" priority="23" aboveAverage="0" equalAverage="0" bottom="0" percent="0" rank="0" text="" dxfId="10">
      <formula>K5="Approved"</formula>
    </cfRule>
    <cfRule type="expression" priority="24" aboveAverage="0" equalAverage="0" bottom="0" percent="0" rank="0" text="" dxfId="11">
      <formula>K5="Blocked"</formula>
    </cfRule>
    <cfRule type="expression" priority="25" aboveAverage="0" equalAverage="0" bottom="0" percent="0" rank="0" text="" dxfId="12">
      <formula>K5="N/A"</formula>
    </cfRule>
  </conditionalFormatting>
  <conditionalFormatting sqref="L5:L6">
    <cfRule type="expression" priority="26" aboveAverage="0" equalAverage="0" bottom="0" percent="0" rank="0" text="" dxfId="7">
      <formula>L5="Not started"</formula>
    </cfRule>
    <cfRule type="expression" priority="27" aboveAverage="0" equalAverage="0" bottom="0" percent="0" rank="0" text="" dxfId="8">
      <formula>L5="In progress"</formula>
    </cfRule>
    <cfRule type="expression" priority="28" aboveAverage="0" equalAverage="0" bottom="0" percent="0" rank="0" text="" dxfId="9">
      <formula>L5="Review"</formula>
    </cfRule>
    <cfRule type="expression" priority="29" aboveAverage="0" equalAverage="0" bottom="0" percent="0" rank="0" text="" dxfId="10">
      <formula>L5="Approved"</formula>
    </cfRule>
    <cfRule type="expression" priority="30" aboveAverage="0" equalAverage="0" bottom="0" percent="0" rank="0" text="" dxfId="11">
      <formula>L5="Blocked"</formula>
    </cfRule>
    <cfRule type="expression" priority="31" aboveAverage="0" equalAverage="0" bottom="0" percent="0" rank="0" text="" dxfId="12">
      <formula>L5="N/A"</formula>
    </cfRule>
  </conditionalFormatting>
  <conditionalFormatting sqref="H10:H14">
    <cfRule type="expression" priority="32" aboveAverage="0" equalAverage="0" bottom="0" percent="0" rank="0" text="" dxfId="7">
      <formula>H10="Not started"</formula>
    </cfRule>
    <cfRule type="expression" priority="33" aboveAverage="0" equalAverage="0" bottom="0" percent="0" rank="0" text="" dxfId="8">
      <formula>H10="In progress"</formula>
    </cfRule>
    <cfRule type="expression" priority="34" aboveAverage="0" equalAverage="0" bottom="0" percent="0" rank="0" text="" dxfId="9">
      <formula>H10="Review"</formula>
    </cfRule>
    <cfRule type="expression" priority="35" aboveAverage="0" equalAverage="0" bottom="0" percent="0" rank="0" text="" dxfId="10">
      <formula>H10="Approved"</formula>
    </cfRule>
    <cfRule type="expression" priority="36" aboveAverage="0" equalAverage="0" bottom="0" percent="0" rank="0" text="" dxfId="11">
      <formula>H10="Blocked"</formula>
    </cfRule>
    <cfRule type="expression" priority="37" aboveAverage="0" equalAverage="0" bottom="0" percent="0" rank="0" text="" dxfId="12">
      <formula>H10="N/A"</formula>
    </cfRule>
  </conditionalFormatting>
  <dataValidations count="6">
    <dataValidation allowBlank="true" errorStyle="stop" operator="between" showDropDown="false" showErrorMessage="false" showInputMessage="false" sqref="H5:H6" type="list">
      <formula1>"Not started,In progress,Review,Approved,Blocked,N/A"</formula1>
      <formula2>0</formula2>
    </dataValidation>
    <dataValidation allowBlank="true" errorStyle="stop" operator="between" showDropDown="false" showErrorMessage="false" showInputMessage="false" sqref="I5:I6" type="list">
      <formula1>"Not started,In progress,Review,Approved,Blocked,N/A"</formula1>
      <formula2>0</formula2>
    </dataValidation>
    <dataValidation allowBlank="true" errorStyle="stop" operator="between" showDropDown="false" showErrorMessage="false" showInputMessage="false" sqref="J5:J6" type="list">
      <formula1>"Not started,In progress,Review,Approved,Blocked,N/A"</formula1>
      <formula2>0</formula2>
    </dataValidation>
    <dataValidation allowBlank="true" errorStyle="stop" operator="between" showDropDown="false" showErrorMessage="false" showInputMessage="false" sqref="K5:K6" type="list">
      <formula1>"Not started,In progress,Review,Approved,Blocked,N/A"</formula1>
      <formula2>0</formula2>
    </dataValidation>
    <dataValidation allowBlank="true" errorStyle="stop" operator="between" showDropDown="false" showErrorMessage="false" showInputMessage="false" sqref="L5:L6" type="list">
      <formula1>"Not started,In progress,Review,Approved,Blocked,N/A"</formula1>
      <formula2>0</formula2>
    </dataValidation>
    <dataValidation allowBlank="true" errorStyle="stop" operator="between" showDropDown="false" showErrorMessage="false" showInputMessage="false" sqref="H10:H14" type="list">
      <formula1>"Not started,In progress,Review,Approved,Blocked,N/A"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410C"/>
    <pageSetUpPr fitToPage="false"/>
  </sheetPr>
  <dimension ref="A1:K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1" width="9"/>
    <col collapsed="false" customWidth="true" hidden="false" outlineLevel="0" max="2" min="2" style="1" width="26"/>
    <col collapsed="false" customWidth="true" hidden="false" outlineLevel="0" max="3" min="3" style="1" width="22"/>
    <col collapsed="false" customWidth="true" hidden="false" outlineLevel="0" max="4" min="4" style="1" width="9"/>
    <col collapsed="false" customWidth="true" hidden="false" outlineLevel="0" max="5" min="5" style="1" width="7"/>
    <col collapsed="false" customWidth="true" hidden="false" outlineLevel="0" max="6" min="6" style="1" width="60"/>
    <col collapsed="false" customWidth="true" hidden="false" outlineLevel="0" max="7" min="7" style="1" width="46"/>
    <col collapsed="false" customWidth="true" hidden="false" outlineLevel="0" max="8" min="8" style="1" width="30"/>
    <col collapsed="false" customWidth="true" hidden="false" outlineLevel="0" max="9" min="9" style="1" width="52"/>
    <col collapsed="false" customWidth="true" hidden="false" outlineLevel="0" max="10" min="10" style="1" width="13"/>
    <col collapsed="false" customWidth="true" hidden="false" outlineLevel="0" max="11" min="11" style="1" width="30"/>
  </cols>
  <sheetData>
    <row r="1" customFormat="false" ht="25.5" hidden="false" customHeight="true" outlineLevel="0" collapsed="false">
      <c r="A1" s="2" t="s">
        <v>268</v>
      </c>
    </row>
    <row r="2" customFormat="false" ht="15" hidden="false" customHeight="true" outlineLevel="0" collapsed="false">
      <c r="A2" s="3" t="s">
        <v>269</v>
      </c>
    </row>
    <row r="4" customFormat="false" ht="31.5" hidden="false" customHeight="true" outlineLevel="0" collapsed="false">
      <c r="A4" s="5" t="s">
        <v>56</v>
      </c>
      <c r="B4" s="5" t="s">
        <v>270</v>
      </c>
      <c r="C4" s="5" t="s">
        <v>128</v>
      </c>
      <c r="D4" s="5" t="s">
        <v>66</v>
      </c>
      <c r="E4" s="5" t="s">
        <v>271</v>
      </c>
      <c r="F4" s="5" t="s">
        <v>272</v>
      </c>
      <c r="G4" s="5" t="s">
        <v>273</v>
      </c>
      <c r="H4" s="5" t="s">
        <v>274</v>
      </c>
      <c r="I4" s="5" t="s">
        <v>275</v>
      </c>
      <c r="J4" s="5" t="s">
        <v>276</v>
      </c>
      <c r="K4" s="5" t="s">
        <v>76</v>
      </c>
    </row>
    <row r="5" customFormat="false" ht="363.75" hidden="false" customHeight="true" outlineLevel="0" collapsed="false">
      <c r="A5" s="6" t="s">
        <v>91</v>
      </c>
      <c r="B5" s="6" t="s">
        <v>277</v>
      </c>
      <c r="C5" s="6" t="s">
        <v>278</v>
      </c>
      <c r="D5" s="6" t="s">
        <v>279</v>
      </c>
      <c r="E5" s="6" t="n">
        <v>123</v>
      </c>
      <c r="F5" s="6" t="s">
        <v>280</v>
      </c>
      <c r="G5" s="6" t="s">
        <v>281</v>
      </c>
      <c r="H5" s="6" t="s">
        <v>282</v>
      </c>
      <c r="I5" s="6" t="s">
        <v>283</v>
      </c>
      <c r="J5" s="6" t="s">
        <v>41</v>
      </c>
      <c r="K5" s="19" t="s">
        <v>284</v>
      </c>
    </row>
    <row r="6" customFormat="false" ht="298.5" hidden="false" customHeight="true" outlineLevel="0" collapsed="false">
      <c r="A6" s="6" t="s">
        <v>101</v>
      </c>
      <c r="B6" s="6" t="s">
        <v>285</v>
      </c>
      <c r="C6" s="6" t="s">
        <v>278</v>
      </c>
      <c r="D6" s="6" t="s">
        <v>109</v>
      </c>
      <c r="E6" s="6" t="n">
        <v>140</v>
      </c>
      <c r="F6" s="6" t="s">
        <v>286</v>
      </c>
      <c r="G6" s="6" t="s">
        <v>287</v>
      </c>
      <c r="H6" s="6" t="s">
        <v>282</v>
      </c>
      <c r="I6" s="6" t="s">
        <v>288</v>
      </c>
      <c r="J6" s="6" t="s">
        <v>38</v>
      </c>
      <c r="K6" s="19" t="s">
        <v>289</v>
      </c>
    </row>
    <row r="7" customFormat="false" ht="39" hidden="false" customHeight="true" outlineLevel="0" collapsed="false">
      <c r="A7" s="6" t="s">
        <v>112</v>
      </c>
      <c r="B7" s="6" t="s">
        <v>290</v>
      </c>
      <c r="C7" s="6" t="s">
        <v>278</v>
      </c>
      <c r="D7" s="6" t="s">
        <v>114</v>
      </c>
      <c r="E7" s="6"/>
      <c r="F7" s="6" t="s">
        <v>291</v>
      </c>
      <c r="G7" s="6"/>
      <c r="H7" s="6" t="s">
        <v>282</v>
      </c>
      <c r="I7" s="6" t="s">
        <v>292</v>
      </c>
      <c r="J7" s="6" t="s">
        <v>38</v>
      </c>
      <c r="K7" s="19" t="s">
        <v>293</v>
      </c>
    </row>
    <row r="8" customFormat="false" ht="39" hidden="false" customHeight="true" outlineLevel="0" collapsed="false">
      <c r="A8" s="6" t="s">
        <v>116</v>
      </c>
      <c r="B8" s="6" t="s">
        <v>290</v>
      </c>
      <c r="C8" s="6" t="s">
        <v>278</v>
      </c>
      <c r="D8" s="6" t="s">
        <v>114</v>
      </c>
      <c r="E8" s="6"/>
      <c r="F8" s="6" t="s">
        <v>291</v>
      </c>
      <c r="G8" s="6"/>
      <c r="H8" s="6" t="s">
        <v>282</v>
      </c>
      <c r="I8" s="6" t="s">
        <v>292</v>
      </c>
      <c r="J8" s="6" t="s">
        <v>38</v>
      </c>
      <c r="K8" s="19" t="s">
        <v>293</v>
      </c>
    </row>
    <row r="9" customFormat="false" ht="39" hidden="false" customHeight="true" outlineLevel="0" collapsed="false">
      <c r="A9" s="6" t="s">
        <v>118</v>
      </c>
      <c r="B9" s="6" t="s">
        <v>290</v>
      </c>
      <c r="C9" s="6" t="s">
        <v>278</v>
      </c>
      <c r="D9" s="6" t="s">
        <v>114</v>
      </c>
      <c r="E9" s="6"/>
      <c r="F9" s="6" t="s">
        <v>291</v>
      </c>
      <c r="G9" s="6"/>
      <c r="H9" s="6" t="s">
        <v>282</v>
      </c>
      <c r="I9" s="6" t="s">
        <v>292</v>
      </c>
      <c r="J9" s="6" t="s">
        <v>38</v>
      </c>
      <c r="K9" s="19" t="s">
        <v>293</v>
      </c>
    </row>
    <row r="10" customFormat="false" ht="39" hidden="false" customHeight="true" outlineLevel="0" collapsed="false">
      <c r="A10" s="6" t="s">
        <v>120</v>
      </c>
      <c r="B10" s="6" t="s">
        <v>290</v>
      </c>
      <c r="C10" s="6" t="s">
        <v>278</v>
      </c>
      <c r="D10" s="6" t="s">
        <v>114</v>
      </c>
      <c r="E10" s="6"/>
      <c r="F10" s="6" t="s">
        <v>291</v>
      </c>
      <c r="G10" s="6"/>
      <c r="H10" s="6" t="s">
        <v>282</v>
      </c>
      <c r="I10" s="6" t="s">
        <v>292</v>
      </c>
      <c r="J10" s="6" t="s">
        <v>38</v>
      </c>
      <c r="K10" s="19" t="s">
        <v>293</v>
      </c>
    </row>
    <row r="11" customFormat="false" ht="39" hidden="false" customHeight="true" outlineLevel="0" collapsed="false">
      <c r="A11" s="6" t="s">
        <v>122</v>
      </c>
      <c r="B11" s="6" t="s">
        <v>290</v>
      </c>
      <c r="C11" s="6" t="s">
        <v>278</v>
      </c>
      <c r="D11" s="6" t="s">
        <v>114</v>
      </c>
      <c r="E11" s="6"/>
      <c r="F11" s="6" t="s">
        <v>291</v>
      </c>
      <c r="G11" s="6"/>
      <c r="H11" s="6" t="s">
        <v>282</v>
      </c>
      <c r="I11" s="6" t="s">
        <v>292</v>
      </c>
      <c r="J11" s="6" t="s">
        <v>38</v>
      </c>
      <c r="K11" s="19" t="s">
        <v>293</v>
      </c>
    </row>
    <row r="12" customFormat="false" ht="39" hidden="false" customHeight="true" outlineLevel="0" collapsed="false">
      <c r="A12" s="6" t="s">
        <v>124</v>
      </c>
      <c r="B12" s="6" t="s">
        <v>290</v>
      </c>
      <c r="C12" s="6" t="s">
        <v>278</v>
      </c>
      <c r="D12" s="6" t="s">
        <v>114</v>
      </c>
      <c r="E12" s="6"/>
      <c r="F12" s="6" t="s">
        <v>291</v>
      </c>
      <c r="G12" s="6"/>
      <c r="H12" s="6" t="s">
        <v>282</v>
      </c>
      <c r="I12" s="6" t="s">
        <v>292</v>
      </c>
      <c r="J12" s="6" t="s">
        <v>38</v>
      </c>
      <c r="K12" s="19" t="s">
        <v>293</v>
      </c>
    </row>
    <row r="13" customFormat="false" ht="168.75" hidden="false" customHeight="true" outlineLevel="0" collapsed="false">
      <c r="A13" s="6" t="s">
        <v>138</v>
      </c>
      <c r="B13" s="6" t="s">
        <v>140</v>
      </c>
      <c r="C13" s="6" t="s">
        <v>294</v>
      </c>
      <c r="D13" s="6" t="s">
        <v>114</v>
      </c>
      <c r="E13" s="6"/>
      <c r="F13" s="6" t="s">
        <v>295</v>
      </c>
      <c r="G13" s="6" t="s">
        <v>296</v>
      </c>
      <c r="H13" s="6" t="s">
        <v>297</v>
      </c>
      <c r="I13" s="6" t="s">
        <v>298</v>
      </c>
      <c r="J13" s="6" t="s">
        <v>38</v>
      </c>
      <c r="K13" s="19" t="s">
        <v>299</v>
      </c>
    </row>
    <row r="14" customFormat="false" ht="298.5" hidden="false" customHeight="true" outlineLevel="0" collapsed="false">
      <c r="A14" s="6" t="s">
        <v>149</v>
      </c>
      <c r="B14" s="6" t="s">
        <v>140</v>
      </c>
      <c r="C14" s="6" t="s">
        <v>300</v>
      </c>
      <c r="D14" s="6" t="s">
        <v>114</v>
      </c>
      <c r="E14" s="6"/>
      <c r="F14" s="6" t="s">
        <v>301</v>
      </c>
      <c r="G14" s="6" t="s">
        <v>302</v>
      </c>
      <c r="H14" s="6" t="s">
        <v>282</v>
      </c>
      <c r="I14" s="6" t="s">
        <v>303</v>
      </c>
      <c r="J14" s="6" t="s">
        <v>38</v>
      </c>
      <c r="K14" s="19" t="s">
        <v>304</v>
      </c>
    </row>
    <row r="15" customFormat="false" ht="156" hidden="false" customHeight="true" outlineLevel="0" collapsed="false">
      <c r="A15" s="6" t="s">
        <v>152</v>
      </c>
      <c r="B15" s="6" t="s">
        <v>153</v>
      </c>
      <c r="C15" s="6" t="s">
        <v>294</v>
      </c>
      <c r="D15" s="6" t="s">
        <v>114</v>
      </c>
      <c r="E15" s="6"/>
      <c r="F15" s="6" t="s">
        <v>305</v>
      </c>
      <c r="G15" s="6" t="s">
        <v>306</v>
      </c>
      <c r="H15" s="6" t="s">
        <v>297</v>
      </c>
      <c r="I15" s="6" t="s">
        <v>307</v>
      </c>
      <c r="J15" s="6" t="s">
        <v>38</v>
      </c>
      <c r="K15" s="19" t="s">
        <v>299</v>
      </c>
    </row>
    <row r="16" customFormat="false" ht="298.5" hidden="false" customHeight="true" outlineLevel="0" collapsed="false">
      <c r="A16" s="6" t="s">
        <v>160</v>
      </c>
      <c r="B16" s="6" t="s">
        <v>153</v>
      </c>
      <c r="C16" s="6" t="s">
        <v>300</v>
      </c>
      <c r="D16" s="6" t="s">
        <v>114</v>
      </c>
      <c r="E16" s="6"/>
      <c r="F16" s="6" t="s">
        <v>308</v>
      </c>
      <c r="G16" s="6" t="s">
        <v>309</v>
      </c>
      <c r="H16" s="6" t="s">
        <v>282</v>
      </c>
      <c r="I16" s="6" t="s">
        <v>310</v>
      </c>
      <c r="J16" s="6" t="s">
        <v>38</v>
      </c>
      <c r="K16" s="19" t="s">
        <v>304</v>
      </c>
    </row>
    <row r="17" customFormat="false" ht="156" hidden="false" customHeight="true" outlineLevel="0" collapsed="false">
      <c r="A17" s="6" t="s">
        <v>161</v>
      </c>
      <c r="B17" s="6" t="s">
        <v>162</v>
      </c>
      <c r="C17" s="6" t="s">
        <v>294</v>
      </c>
      <c r="D17" s="6" t="s">
        <v>114</v>
      </c>
      <c r="E17" s="6"/>
      <c r="F17" s="6" t="s">
        <v>311</v>
      </c>
      <c r="G17" s="6" t="s">
        <v>312</v>
      </c>
      <c r="H17" s="6" t="s">
        <v>297</v>
      </c>
      <c r="I17" s="6" t="s">
        <v>313</v>
      </c>
      <c r="J17" s="6" t="s">
        <v>38</v>
      </c>
      <c r="K17" s="19" t="s">
        <v>299</v>
      </c>
    </row>
    <row r="18" customFormat="false" ht="298.5" hidden="false" customHeight="true" outlineLevel="0" collapsed="false">
      <c r="A18" s="6" t="s">
        <v>169</v>
      </c>
      <c r="B18" s="6" t="s">
        <v>162</v>
      </c>
      <c r="C18" s="6" t="s">
        <v>300</v>
      </c>
      <c r="D18" s="6" t="s">
        <v>114</v>
      </c>
      <c r="E18" s="6"/>
      <c r="F18" s="6" t="s">
        <v>314</v>
      </c>
      <c r="G18" s="6" t="s">
        <v>315</v>
      </c>
      <c r="H18" s="6" t="s">
        <v>282</v>
      </c>
      <c r="I18" s="6" t="s">
        <v>316</v>
      </c>
      <c r="J18" s="6" t="s">
        <v>38</v>
      </c>
      <c r="K18" s="19" t="s">
        <v>304</v>
      </c>
    </row>
    <row r="19" customFormat="false" ht="156" hidden="false" customHeight="true" outlineLevel="0" collapsed="false">
      <c r="A19" s="6" t="s">
        <v>170</v>
      </c>
      <c r="B19" s="6" t="s">
        <v>171</v>
      </c>
      <c r="C19" s="6" t="s">
        <v>294</v>
      </c>
      <c r="D19" s="6" t="s">
        <v>114</v>
      </c>
      <c r="E19" s="6"/>
      <c r="F19" s="6" t="s">
        <v>317</v>
      </c>
      <c r="G19" s="6" t="s">
        <v>318</v>
      </c>
      <c r="H19" s="6" t="s">
        <v>297</v>
      </c>
      <c r="I19" s="6" t="s">
        <v>319</v>
      </c>
      <c r="J19" s="6" t="s">
        <v>38</v>
      </c>
      <c r="K19" s="19" t="s">
        <v>299</v>
      </c>
    </row>
    <row r="20" customFormat="false" ht="298.5" hidden="false" customHeight="true" outlineLevel="0" collapsed="false">
      <c r="A20" s="6" t="s">
        <v>178</v>
      </c>
      <c r="B20" s="6" t="s">
        <v>171</v>
      </c>
      <c r="C20" s="6" t="s">
        <v>300</v>
      </c>
      <c r="D20" s="6" t="s">
        <v>114</v>
      </c>
      <c r="E20" s="6"/>
      <c r="F20" s="6" t="s">
        <v>320</v>
      </c>
      <c r="G20" s="6" t="s">
        <v>321</v>
      </c>
      <c r="H20" s="6" t="s">
        <v>282</v>
      </c>
      <c r="I20" s="6" t="s">
        <v>322</v>
      </c>
      <c r="J20" s="6" t="s">
        <v>38</v>
      </c>
      <c r="K20" s="19" t="s">
        <v>304</v>
      </c>
    </row>
    <row r="21" customFormat="false" ht="156" hidden="false" customHeight="true" outlineLevel="0" collapsed="false">
      <c r="A21" s="6" t="s">
        <v>179</v>
      </c>
      <c r="B21" s="6" t="s">
        <v>180</v>
      </c>
      <c r="C21" s="6" t="s">
        <v>294</v>
      </c>
      <c r="D21" s="6" t="s">
        <v>114</v>
      </c>
      <c r="E21" s="6"/>
      <c r="F21" s="6" t="s">
        <v>323</v>
      </c>
      <c r="G21" s="6" t="s">
        <v>324</v>
      </c>
      <c r="H21" s="6" t="s">
        <v>297</v>
      </c>
      <c r="I21" s="6" t="s">
        <v>325</v>
      </c>
      <c r="J21" s="6" t="s">
        <v>38</v>
      </c>
      <c r="K21" s="19" t="s">
        <v>299</v>
      </c>
    </row>
    <row r="22" customFormat="false" ht="298.5" hidden="false" customHeight="true" outlineLevel="0" collapsed="false">
      <c r="A22" s="6" t="s">
        <v>187</v>
      </c>
      <c r="B22" s="6" t="s">
        <v>180</v>
      </c>
      <c r="C22" s="6" t="s">
        <v>300</v>
      </c>
      <c r="D22" s="6" t="s">
        <v>114</v>
      </c>
      <c r="E22" s="6"/>
      <c r="F22" s="6" t="s">
        <v>326</v>
      </c>
      <c r="G22" s="6" t="s">
        <v>327</v>
      </c>
      <c r="H22" s="6" t="s">
        <v>282</v>
      </c>
      <c r="I22" s="6" t="s">
        <v>328</v>
      </c>
      <c r="J22" s="6" t="s">
        <v>38</v>
      </c>
      <c r="K22" s="19" t="s">
        <v>304</v>
      </c>
    </row>
    <row r="23" customFormat="false" ht="156" hidden="false" customHeight="true" outlineLevel="0" collapsed="false">
      <c r="A23" s="6" t="s">
        <v>188</v>
      </c>
      <c r="B23" s="6" t="s">
        <v>189</v>
      </c>
      <c r="C23" s="6" t="s">
        <v>294</v>
      </c>
      <c r="D23" s="6" t="s">
        <v>114</v>
      </c>
      <c r="E23" s="6"/>
      <c r="F23" s="6" t="s">
        <v>329</v>
      </c>
      <c r="G23" s="6" t="s">
        <v>330</v>
      </c>
      <c r="H23" s="6" t="s">
        <v>297</v>
      </c>
      <c r="I23" s="6" t="s">
        <v>331</v>
      </c>
      <c r="J23" s="6" t="s">
        <v>38</v>
      </c>
      <c r="K23" s="19" t="s">
        <v>299</v>
      </c>
    </row>
    <row r="24" customFormat="false" ht="298.5" hidden="false" customHeight="true" outlineLevel="0" collapsed="false">
      <c r="A24" s="6" t="s">
        <v>196</v>
      </c>
      <c r="B24" s="6" t="s">
        <v>189</v>
      </c>
      <c r="C24" s="6" t="s">
        <v>300</v>
      </c>
      <c r="D24" s="6" t="s">
        <v>114</v>
      </c>
      <c r="E24" s="6"/>
      <c r="F24" s="6" t="s">
        <v>332</v>
      </c>
      <c r="G24" s="6" t="s">
        <v>333</v>
      </c>
      <c r="H24" s="6" t="s">
        <v>282</v>
      </c>
      <c r="I24" s="6" t="s">
        <v>334</v>
      </c>
      <c r="J24" s="6" t="s">
        <v>38</v>
      </c>
      <c r="K24" s="19" t="s">
        <v>304</v>
      </c>
    </row>
    <row r="25" customFormat="false" ht="156" hidden="false" customHeight="true" outlineLevel="0" collapsed="false">
      <c r="A25" s="6" t="s">
        <v>197</v>
      </c>
      <c r="B25" s="6" t="s">
        <v>198</v>
      </c>
      <c r="C25" s="6" t="s">
        <v>294</v>
      </c>
      <c r="D25" s="6" t="s">
        <v>114</v>
      </c>
      <c r="E25" s="6"/>
      <c r="F25" s="6" t="s">
        <v>335</v>
      </c>
      <c r="G25" s="6" t="s">
        <v>336</v>
      </c>
      <c r="H25" s="6" t="s">
        <v>297</v>
      </c>
      <c r="I25" s="6" t="s">
        <v>337</v>
      </c>
      <c r="J25" s="6" t="s">
        <v>38</v>
      </c>
      <c r="K25" s="19" t="s">
        <v>299</v>
      </c>
    </row>
    <row r="26" customFormat="false" ht="298.5" hidden="false" customHeight="true" outlineLevel="0" collapsed="false">
      <c r="A26" s="6" t="s">
        <v>206</v>
      </c>
      <c r="B26" s="6" t="s">
        <v>198</v>
      </c>
      <c r="C26" s="6" t="s">
        <v>300</v>
      </c>
      <c r="D26" s="6" t="s">
        <v>114</v>
      </c>
      <c r="E26" s="6"/>
      <c r="F26" s="6" t="s">
        <v>338</v>
      </c>
      <c r="G26" s="6" t="s">
        <v>339</v>
      </c>
      <c r="H26" s="6" t="s">
        <v>282</v>
      </c>
      <c r="I26" s="6" t="s">
        <v>340</v>
      </c>
      <c r="J26" s="6" t="s">
        <v>38</v>
      </c>
      <c r="K26" s="19" t="s">
        <v>304</v>
      </c>
    </row>
    <row r="27" customFormat="false" ht="156" hidden="false" customHeight="true" outlineLevel="0" collapsed="false">
      <c r="A27" s="6" t="s">
        <v>207</v>
      </c>
      <c r="B27" s="6" t="s">
        <v>208</v>
      </c>
      <c r="C27" s="6" t="s">
        <v>294</v>
      </c>
      <c r="D27" s="6" t="s">
        <v>114</v>
      </c>
      <c r="E27" s="6"/>
      <c r="F27" s="6" t="s">
        <v>341</v>
      </c>
      <c r="G27" s="6" t="s">
        <v>342</v>
      </c>
      <c r="H27" s="6" t="s">
        <v>297</v>
      </c>
      <c r="I27" s="6" t="s">
        <v>343</v>
      </c>
      <c r="J27" s="6" t="s">
        <v>38</v>
      </c>
      <c r="K27" s="19" t="s">
        <v>299</v>
      </c>
    </row>
    <row r="28" customFormat="false" ht="298.5" hidden="false" customHeight="true" outlineLevel="0" collapsed="false">
      <c r="A28" s="6" t="s">
        <v>215</v>
      </c>
      <c r="B28" s="6" t="s">
        <v>208</v>
      </c>
      <c r="C28" s="6" t="s">
        <v>300</v>
      </c>
      <c r="D28" s="6" t="s">
        <v>114</v>
      </c>
      <c r="E28" s="6"/>
      <c r="F28" s="6" t="s">
        <v>344</v>
      </c>
      <c r="G28" s="6" t="s">
        <v>345</v>
      </c>
      <c r="H28" s="6" t="s">
        <v>282</v>
      </c>
      <c r="I28" s="6" t="s">
        <v>346</v>
      </c>
      <c r="J28" s="6" t="s">
        <v>38</v>
      </c>
      <c r="K28" s="19" t="s">
        <v>304</v>
      </c>
    </row>
    <row r="29" customFormat="false" ht="195" hidden="false" customHeight="true" outlineLevel="0" collapsed="false">
      <c r="A29" s="6" t="s">
        <v>220</v>
      </c>
      <c r="B29" s="6" t="s">
        <v>347</v>
      </c>
      <c r="C29" s="6" t="s">
        <v>294</v>
      </c>
      <c r="D29" s="6" t="s">
        <v>348</v>
      </c>
      <c r="E29" s="6" t="n">
        <v>90</v>
      </c>
      <c r="F29" s="6" t="s">
        <v>349</v>
      </c>
      <c r="G29" s="6" t="s">
        <v>350</v>
      </c>
      <c r="H29" s="6" t="s">
        <v>297</v>
      </c>
      <c r="I29" s="6" t="s">
        <v>351</v>
      </c>
      <c r="J29" s="6" t="s">
        <v>38</v>
      </c>
      <c r="K29" s="19" t="s">
        <v>352</v>
      </c>
    </row>
    <row r="30" customFormat="false" ht="408.75" hidden="false" customHeight="true" outlineLevel="0" collapsed="false">
      <c r="A30" s="6" t="s">
        <v>227</v>
      </c>
      <c r="B30" s="6" t="s">
        <v>353</v>
      </c>
      <c r="C30" s="6" t="s">
        <v>300</v>
      </c>
      <c r="D30" s="6" t="s">
        <v>348</v>
      </c>
      <c r="E30" s="6" t="n">
        <v>118</v>
      </c>
      <c r="F30" s="6" t="s">
        <v>354</v>
      </c>
      <c r="G30" s="6" t="s">
        <v>355</v>
      </c>
      <c r="H30" s="6" t="s">
        <v>282</v>
      </c>
      <c r="I30" s="6" t="s">
        <v>356</v>
      </c>
      <c r="J30" s="6" t="s">
        <v>38</v>
      </c>
      <c r="K30" s="19" t="s">
        <v>357</v>
      </c>
    </row>
  </sheetData>
  <autoFilter ref="A4:K30"/>
  <conditionalFormatting sqref="J5:J30">
    <cfRule type="expression" priority="2" aboveAverage="0" equalAverage="0" bottom="0" percent="0" rank="0" text="" dxfId="7">
      <formula>J5="Not started"</formula>
    </cfRule>
    <cfRule type="expression" priority="3" aboveAverage="0" equalAverage="0" bottom="0" percent="0" rank="0" text="" dxfId="8">
      <formula>J5="In progress"</formula>
    </cfRule>
    <cfRule type="expression" priority="4" aboveAverage="0" equalAverage="0" bottom="0" percent="0" rank="0" text="" dxfId="9">
      <formula>J5="Review"</formula>
    </cfRule>
    <cfRule type="expression" priority="5" aboveAverage="0" equalAverage="0" bottom="0" percent="0" rank="0" text="" dxfId="10">
      <formula>J5="Approved"</formula>
    </cfRule>
    <cfRule type="expression" priority="6" aboveAverage="0" equalAverage="0" bottom="0" percent="0" rank="0" text="" dxfId="11">
      <formula>J5="Blocked"</formula>
    </cfRule>
    <cfRule type="expression" priority="7" aboveAverage="0" equalAverage="0" bottom="0" percent="0" rank="0" text="" dxfId="12">
      <formula>J5="N/A"</formula>
    </cfRule>
  </conditionalFormatting>
  <dataValidations count="1">
    <dataValidation allowBlank="true" errorStyle="stop" operator="between" showDropDown="false" showErrorMessage="false" showInputMessage="false" sqref="J5:J30" type="list">
      <formula1>"Not started,In progress,Review,Approved,Blocked,N/A"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6170"/>
    <pageSetUpPr fitToPage="false"/>
  </sheetPr>
  <dimension ref="A1:I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1" width="34"/>
    <col collapsed="false" customWidth="true" hidden="false" outlineLevel="0" max="2" min="2" style="1" width="11"/>
    <col collapsed="false" customWidth="true" hidden="false" outlineLevel="0" max="3" min="3" style="1" width="24"/>
    <col collapsed="false" customWidth="true" hidden="false" outlineLevel="0" max="4" min="4" style="1" width="32"/>
    <col collapsed="false" customWidth="true" hidden="false" outlineLevel="0" max="5" min="5" style="1" width="24"/>
    <col collapsed="false" customWidth="true" hidden="false" outlineLevel="0" max="6" min="6" style="1" width="13"/>
    <col collapsed="false" customWidth="true" hidden="false" outlineLevel="0" max="7" min="7" style="1" width="12"/>
    <col collapsed="false" customWidth="true" hidden="false" outlineLevel="0" max="8" min="8" style="1" width="11"/>
    <col collapsed="false" customWidth="true" hidden="false" outlineLevel="0" max="9" min="9" style="1" width="36"/>
  </cols>
  <sheetData>
    <row r="1" customFormat="false" ht="25.5" hidden="false" customHeight="true" outlineLevel="0" collapsed="false">
      <c r="A1" s="2" t="s">
        <v>358</v>
      </c>
    </row>
    <row r="2" customFormat="false" ht="15" hidden="false" customHeight="true" outlineLevel="0" collapsed="false">
      <c r="A2" s="3" t="s">
        <v>359</v>
      </c>
    </row>
    <row r="4" customFormat="false" ht="31.5" hidden="false" customHeight="true" outlineLevel="0" collapsed="false">
      <c r="A4" s="5" t="s">
        <v>360</v>
      </c>
      <c r="B4" s="5" t="s">
        <v>361</v>
      </c>
      <c r="C4" s="5" t="s">
        <v>362</v>
      </c>
      <c r="D4" s="5" t="s">
        <v>363</v>
      </c>
      <c r="E4" s="5" t="s">
        <v>364</v>
      </c>
      <c r="F4" s="5" t="s">
        <v>240</v>
      </c>
      <c r="G4" s="5" t="s">
        <v>75</v>
      </c>
      <c r="H4" s="5" t="s">
        <v>365</v>
      </c>
      <c r="I4" s="5" t="s">
        <v>76</v>
      </c>
    </row>
    <row r="5" customFormat="false" ht="15" hidden="false" customHeight="true" outlineLevel="0" collapsed="false">
      <c r="A5" s="6" t="s">
        <v>366</v>
      </c>
      <c r="B5" s="6" t="s">
        <v>367</v>
      </c>
      <c r="C5" s="6" t="s">
        <v>199</v>
      </c>
      <c r="D5" s="6" t="s">
        <v>368</v>
      </c>
      <c r="E5" s="6" t="s">
        <v>369</v>
      </c>
      <c r="F5" s="6" t="s">
        <v>38</v>
      </c>
      <c r="G5" s="19"/>
      <c r="H5" s="19"/>
      <c r="I5" s="19" t="s">
        <v>370</v>
      </c>
    </row>
    <row r="6" customFormat="false" ht="15" hidden="false" customHeight="true" outlineLevel="0" collapsed="false">
      <c r="A6" s="6" t="s">
        <v>371</v>
      </c>
      <c r="B6" s="6" t="s">
        <v>367</v>
      </c>
      <c r="C6" s="6" t="s">
        <v>199</v>
      </c>
      <c r="D6" s="6" t="s">
        <v>372</v>
      </c>
      <c r="E6" s="6" t="s">
        <v>369</v>
      </c>
      <c r="F6" s="6" t="s">
        <v>38</v>
      </c>
      <c r="G6" s="19"/>
      <c r="H6" s="19"/>
      <c r="I6" s="19"/>
    </row>
    <row r="7" customFormat="false" ht="15" hidden="false" customHeight="true" outlineLevel="0" collapsed="false">
      <c r="A7" s="6" t="s">
        <v>373</v>
      </c>
      <c r="B7" s="6" t="s">
        <v>367</v>
      </c>
      <c r="C7" s="6" t="s">
        <v>199</v>
      </c>
      <c r="D7" s="6" t="s">
        <v>374</v>
      </c>
      <c r="E7" s="6"/>
      <c r="F7" s="6" t="s">
        <v>38</v>
      </c>
      <c r="G7" s="19"/>
      <c r="H7" s="19"/>
      <c r="I7" s="19"/>
    </row>
    <row r="8" customFormat="false" ht="15" hidden="false" customHeight="true" outlineLevel="0" collapsed="false">
      <c r="A8" s="6" t="s">
        <v>375</v>
      </c>
      <c r="B8" s="6" t="s">
        <v>367</v>
      </c>
      <c r="C8" s="6" t="s">
        <v>199</v>
      </c>
      <c r="D8" s="6" t="s">
        <v>376</v>
      </c>
      <c r="E8" s="6" t="s">
        <v>377</v>
      </c>
      <c r="F8" s="6" t="s">
        <v>38</v>
      </c>
      <c r="G8" s="19"/>
      <c r="H8" s="19"/>
      <c r="I8" s="19" t="s">
        <v>378</v>
      </c>
    </row>
    <row r="9" customFormat="false" ht="15" hidden="false" customHeight="true" outlineLevel="0" collapsed="false">
      <c r="A9" s="6" t="s">
        <v>379</v>
      </c>
      <c r="B9" s="6" t="s">
        <v>218</v>
      </c>
      <c r="C9" s="6" t="s">
        <v>199</v>
      </c>
      <c r="D9" s="6" t="s">
        <v>380</v>
      </c>
      <c r="E9" s="6"/>
      <c r="F9" s="6" t="s">
        <v>38</v>
      </c>
      <c r="G9" s="19"/>
      <c r="H9" s="19"/>
      <c r="I9" s="19" t="s">
        <v>381</v>
      </c>
    </row>
    <row r="10" customFormat="false" ht="15" hidden="false" customHeight="true" outlineLevel="0" collapsed="false">
      <c r="A10" s="6" t="s">
        <v>382</v>
      </c>
      <c r="B10" s="6" t="s">
        <v>383</v>
      </c>
      <c r="C10" s="6" t="s">
        <v>199</v>
      </c>
      <c r="D10" s="6" t="s">
        <v>376</v>
      </c>
      <c r="E10" s="6" t="s">
        <v>384</v>
      </c>
      <c r="F10" s="6" t="s">
        <v>38</v>
      </c>
      <c r="G10" s="19"/>
      <c r="H10" s="19"/>
      <c r="I10" s="19" t="s">
        <v>385</v>
      </c>
    </row>
    <row r="11" customFormat="false" ht="15" hidden="false" customHeight="true" outlineLevel="0" collapsed="false">
      <c r="A11" s="6" t="s">
        <v>386</v>
      </c>
      <c r="B11" s="6" t="s">
        <v>383</v>
      </c>
      <c r="C11" s="6" t="s">
        <v>387</v>
      </c>
      <c r="D11" s="6" t="s">
        <v>376</v>
      </c>
      <c r="E11" s="6" t="s">
        <v>388</v>
      </c>
      <c r="F11" s="6" t="s">
        <v>38</v>
      </c>
      <c r="G11" s="19"/>
      <c r="H11" s="19"/>
      <c r="I11" s="19" t="s">
        <v>256</v>
      </c>
    </row>
    <row r="12" customFormat="false" ht="15" hidden="false" customHeight="true" outlineLevel="0" collapsed="false">
      <c r="A12" s="6" t="s">
        <v>389</v>
      </c>
      <c r="B12" s="6" t="s">
        <v>383</v>
      </c>
      <c r="C12" s="6" t="s">
        <v>387</v>
      </c>
      <c r="D12" s="6" t="s">
        <v>376</v>
      </c>
      <c r="E12" s="6" t="s">
        <v>390</v>
      </c>
      <c r="F12" s="6" t="s">
        <v>38</v>
      </c>
      <c r="G12" s="19"/>
      <c r="H12" s="19"/>
      <c r="I12" s="19" t="s">
        <v>391</v>
      </c>
    </row>
    <row r="13" customFormat="false" ht="15" hidden="false" customHeight="true" outlineLevel="0" collapsed="false">
      <c r="A13" s="6" t="s">
        <v>392</v>
      </c>
      <c r="B13" s="6" t="s">
        <v>383</v>
      </c>
      <c r="C13" s="6" t="s">
        <v>387</v>
      </c>
      <c r="D13" s="6" t="s">
        <v>376</v>
      </c>
      <c r="E13" s="6"/>
      <c r="F13" s="6" t="s">
        <v>38</v>
      </c>
      <c r="G13" s="19"/>
      <c r="H13" s="19"/>
      <c r="I13" s="19" t="s">
        <v>393</v>
      </c>
    </row>
    <row r="14" customFormat="false" ht="15" hidden="false" customHeight="true" outlineLevel="0" collapsed="false">
      <c r="A14" s="6" t="s">
        <v>394</v>
      </c>
      <c r="B14" s="6" t="s">
        <v>383</v>
      </c>
      <c r="C14" s="6" t="s">
        <v>395</v>
      </c>
      <c r="D14" s="6" t="s">
        <v>396</v>
      </c>
      <c r="E14" s="6"/>
      <c r="F14" s="6" t="s">
        <v>38</v>
      </c>
      <c r="G14" s="19"/>
      <c r="H14" s="19"/>
      <c r="I14" s="19" t="s">
        <v>397</v>
      </c>
    </row>
    <row r="15" customFormat="false" ht="23.25" hidden="false" customHeight="true" outlineLevel="0" collapsed="false">
      <c r="A15" s="6" t="s">
        <v>398</v>
      </c>
      <c r="B15" s="6" t="s">
        <v>399</v>
      </c>
      <c r="C15" s="6" t="s">
        <v>199</v>
      </c>
      <c r="D15" s="6" t="s">
        <v>400</v>
      </c>
      <c r="E15" s="6"/>
      <c r="F15" s="6" t="s">
        <v>38</v>
      </c>
      <c r="G15" s="19"/>
      <c r="H15" s="19"/>
      <c r="I15" s="19" t="s">
        <v>401</v>
      </c>
    </row>
    <row r="16" customFormat="false" ht="15" hidden="false" customHeight="true" outlineLevel="0" collapsed="false">
      <c r="A16" s="6" t="s">
        <v>402</v>
      </c>
      <c r="B16" s="6" t="s">
        <v>403</v>
      </c>
      <c r="C16" s="6" t="s">
        <v>404</v>
      </c>
      <c r="D16" s="6" t="s">
        <v>376</v>
      </c>
      <c r="E16" s="6"/>
      <c r="F16" s="6" t="s">
        <v>38</v>
      </c>
      <c r="G16" s="19"/>
      <c r="H16" s="19"/>
      <c r="I16" s="19" t="s">
        <v>405</v>
      </c>
    </row>
    <row r="17" customFormat="false" ht="15" hidden="false" customHeight="true" outlineLevel="0" collapsed="false">
      <c r="A17" s="6" t="s">
        <v>406</v>
      </c>
      <c r="B17" s="6" t="s">
        <v>403</v>
      </c>
      <c r="C17" s="6" t="s">
        <v>407</v>
      </c>
      <c r="D17" s="6" t="s">
        <v>376</v>
      </c>
      <c r="E17" s="6"/>
      <c r="F17" s="6" t="s">
        <v>38</v>
      </c>
      <c r="G17" s="19"/>
      <c r="H17" s="19"/>
      <c r="I17" s="19" t="s">
        <v>408</v>
      </c>
    </row>
    <row r="18" customFormat="false" ht="15" hidden="false" customHeight="true" outlineLevel="0" collapsed="false">
      <c r="A18" s="6" t="s">
        <v>409</v>
      </c>
      <c r="B18" s="6" t="s">
        <v>403</v>
      </c>
      <c r="C18" s="6" t="s">
        <v>407</v>
      </c>
      <c r="D18" s="6" t="s">
        <v>376</v>
      </c>
      <c r="E18" s="6" t="s">
        <v>410</v>
      </c>
      <c r="F18" s="6" t="s">
        <v>38</v>
      </c>
      <c r="G18" s="19"/>
      <c r="H18" s="19"/>
      <c r="I18" s="19" t="s">
        <v>411</v>
      </c>
    </row>
    <row r="19" customFormat="false" ht="15" hidden="false" customHeight="true" outlineLevel="0" collapsed="false">
      <c r="A19" s="6" t="s">
        <v>412</v>
      </c>
      <c r="B19" s="6" t="s">
        <v>413</v>
      </c>
      <c r="C19" s="6" t="s">
        <v>199</v>
      </c>
      <c r="D19" s="6" t="s">
        <v>376</v>
      </c>
      <c r="E19" s="6" t="s">
        <v>384</v>
      </c>
      <c r="F19" s="6" t="s">
        <v>38</v>
      </c>
      <c r="G19" s="19"/>
      <c r="H19" s="19"/>
      <c r="I19" s="19" t="s">
        <v>414</v>
      </c>
    </row>
    <row r="20" customFormat="false" ht="15" hidden="false" customHeight="true" outlineLevel="0" collapsed="false">
      <c r="A20" s="6" t="s">
        <v>415</v>
      </c>
      <c r="B20" s="6" t="s">
        <v>413</v>
      </c>
      <c r="C20" s="6" t="s">
        <v>387</v>
      </c>
      <c r="D20" s="6" t="s">
        <v>416</v>
      </c>
      <c r="E20" s="6" t="s">
        <v>369</v>
      </c>
      <c r="F20" s="6" t="s">
        <v>38</v>
      </c>
      <c r="G20" s="19"/>
      <c r="H20" s="19"/>
      <c r="I20" s="19"/>
    </row>
    <row r="21" customFormat="false" ht="15" hidden="false" customHeight="true" outlineLevel="0" collapsed="false">
      <c r="A21" s="6" t="s">
        <v>417</v>
      </c>
      <c r="B21" s="6" t="s">
        <v>418</v>
      </c>
      <c r="C21" s="6" t="s">
        <v>419</v>
      </c>
      <c r="D21" s="6" t="s">
        <v>420</v>
      </c>
      <c r="E21" s="6" t="s">
        <v>421</v>
      </c>
      <c r="F21" s="6" t="s">
        <v>39</v>
      </c>
      <c r="G21" s="19"/>
      <c r="H21" s="19"/>
      <c r="I21" s="19" t="s">
        <v>422</v>
      </c>
    </row>
    <row r="22" customFormat="false" ht="15" hidden="false" customHeight="true" outlineLevel="0" collapsed="false">
      <c r="A22" s="6" t="s">
        <v>423</v>
      </c>
      <c r="B22" s="6" t="s">
        <v>218</v>
      </c>
      <c r="C22" s="6" t="s">
        <v>424</v>
      </c>
      <c r="D22" s="6" t="s">
        <v>425</v>
      </c>
      <c r="E22" s="6" t="s">
        <v>426</v>
      </c>
      <c r="F22" s="6" t="s">
        <v>38</v>
      </c>
      <c r="G22" s="19"/>
      <c r="H22" s="19"/>
      <c r="I22" s="19" t="s">
        <v>427</v>
      </c>
    </row>
    <row r="23" customFormat="false" ht="15" hidden="false" customHeight="true" outlineLevel="0" collapsed="false">
      <c r="A23" s="6" t="s">
        <v>428</v>
      </c>
      <c r="B23" s="6" t="s">
        <v>218</v>
      </c>
      <c r="C23" s="6" t="s">
        <v>407</v>
      </c>
      <c r="D23" s="6" t="s">
        <v>425</v>
      </c>
      <c r="E23" s="6" t="s">
        <v>426</v>
      </c>
      <c r="F23" s="6" t="s">
        <v>38</v>
      </c>
      <c r="G23" s="19"/>
      <c r="H23" s="19"/>
      <c r="I23" s="19" t="s">
        <v>429</v>
      </c>
    </row>
    <row r="24" customFormat="false" ht="15" hidden="false" customHeight="true" outlineLevel="0" collapsed="false">
      <c r="A24" s="6" t="s">
        <v>430</v>
      </c>
      <c r="B24" s="6" t="s">
        <v>218</v>
      </c>
      <c r="C24" s="6" t="s">
        <v>407</v>
      </c>
      <c r="D24" s="6" t="s">
        <v>431</v>
      </c>
      <c r="E24" s="6" t="s">
        <v>426</v>
      </c>
      <c r="F24" s="6" t="s">
        <v>38</v>
      </c>
      <c r="G24" s="19"/>
      <c r="H24" s="19"/>
      <c r="I24" s="19" t="s">
        <v>432</v>
      </c>
    </row>
    <row r="25" customFormat="false" ht="15" hidden="false" customHeight="true" outlineLevel="0" collapsed="false">
      <c r="A25" s="6" t="s">
        <v>433</v>
      </c>
      <c r="B25" s="6" t="s">
        <v>434</v>
      </c>
      <c r="C25" s="6" t="s">
        <v>435</v>
      </c>
      <c r="D25" s="6" t="s">
        <v>436</v>
      </c>
      <c r="E25" s="6"/>
      <c r="F25" s="6" t="s">
        <v>38</v>
      </c>
      <c r="G25" s="19"/>
      <c r="H25" s="19"/>
      <c r="I25" s="19" t="s">
        <v>437</v>
      </c>
    </row>
  </sheetData>
  <autoFilter ref="A4:I25"/>
  <conditionalFormatting sqref="F5:F25">
    <cfRule type="expression" priority="2" aboveAverage="0" equalAverage="0" bottom="0" percent="0" rank="0" text="" dxfId="7">
      <formula>F5="Not started"</formula>
    </cfRule>
    <cfRule type="expression" priority="3" aboveAverage="0" equalAverage="0" bottom="0" percent="0" rank="0" text="" dxfId="8">
      <formula>F5="In progress"</formula>
    </cfRule>
    <cfRule type="expression" priority="4" aboveAverage="0" equalAverage="0" bottom="0" percent="0" rank="0" text="" dxfId="9">
      <formula>F5="Review"</formula>
    </cfRule>
    <cfRule type="expression" priority="5" aboveAverage="0" equalAverage="0" bottom="0" percent="0" rank="0" text="" dxfId="10">
      <formula>F5="Approved"</formula>
    </cfRule>
    <cfRule type="expression" priority="6" aboveAverage="0" equalAverage="0" bottom="0" percent="0" rank="0" text="" dxfId="11">
      <formula>F5="Blocked"</formula>
    </cfRule>
    <cfRule type="expression" priority="7" aboveAverage="0" equalAverage="0" bottom="0" percent="0" rank="0" text="" dxfId="12">
      <formula>F5="N/A"</formula>
    </cfRule>
  </conditionalFormatting>
  <dataValidations count="1">
    <dataValidation allowBlank="true" errorStyle="stop" operator="between" showDropDown="false" showErrorMessage="false" showInputMessage="false" sqref="F5:F25" type="list">
      <formula1>"Not started,In progress,Review,Approved,Blocked,N/A"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BB673"/>
    <pageSetUpPr fitToPage="fals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3" min="3" style="1" width="44"/>
    <col collapsed="false" customWidth="true" hidden="false" outlineLevel="0" max="4" min="4" style="1" width="26"/>
    <col collapsed="false" customWidth="true" hidden="false" outlineLevel="0" max="5" min="5" style="1" width="14"/>
    <col collapsed="false" customWidth="true" hidden="false" outlineLevel="0" max="6" min="6" style="1" width="12"/>
    <col collapsed="false" customWidth="true" hidden="false" outlineLevel="0" max="7" min="7" style="1" width="40"/>
  </cols>
  <sheetData>
    <row r="1" customFormat="false" ht="25.5" hidden="false" customHeight="true" outlineLevel="0" collapsed="false">
      <c r="A1" s="2" t="s">
        <v>438</v>
      </c>
    </row>
    <row r="2" customFormat="false" ht="15" hidden="false" customHeight="true" outlineLevel="0" collapsed="false">
      <c r="A2" s="3" t="s">
        <v>439</v>
      </c>
    </row>
    <row r="4" customFormat="false" ht="31.5" hidden="false" customHeight="true" outlineLevel="0" collapsed="false">
      <c r="A4" s="5" t="s">
        <v>440</v>
      </c>
      <c r="B4" s="5" t="s">
        <v>441</v>
      </c>
      <c r="C4" s="5" t="s">
        <v>442</v>
      </c>
      <c r="D4" s="5" t="s">
        <v>443</v>
      </c>
      <c r="E4" s="5" t="s">
        <v>444</v>
      </c>
      <c r="F4" s="5" t="s">
        <v>445</v>
      </c>
      <c r="G4" s="5" t="s">
        <v>76</v>
      </c>
    </row>
    <row r="5" customFormat="false" ht="15" hidden="false" customHeight="true" outlineLevel="0" collapsed="false">
      <c r="A5" s="6" t="s">
        <v>446</v>
      </c>
      <c r="B5" s="6" t="s">
        <v>447</v>
      </c>
      <c r="C5" s="6" t="s">
        <v>448</v>
      </c>
      <c r="D5" s="6" t="s">
        <v>449</v>
      </c>
      <c r="E5" s="6" t="s">
        <v>450</v>
      </c>
      <c r="F5" s="6" t="s">
        <v>38</v>
      </c>
      <c r="G5" s="19" t="s">
        <v>451</v>
      </c>
    </row>
    <row r="6" customFormat="false" ht="15" hidden="false" customHeight="true" outlineLevel="0" collapsed="false">
      <c r="A6" s="6" t="s">
        <v>452</v>
      </c>
      <c r="B6" s="6" t="s">
        <v>447</v>
      </c>
      <c r="C6" s="6" t="s">
        <v>453</v>
      </c>
      <c r="D6" s="6" t="s">
        <v>454</v>
      </c>
      <c r="E6" s="6" t="s">
        <v>450</v>
      </c>
      <c r="F6" s="6" t="s">
        <v>38</v>
      </c>
      <c r="G6" s="19" t="s">
        <v>455</v>
      </c>
    </row>
    <row r="7" customFormat="false" ht="15" hidden="false" customHeight="true" outlineLevel="0" collapsed="false">
      <c r="A7" s="6" t="s">
        <v>456</v>
      </c>
      <c r="B7" s="6" t="s">
        <v>447</v>
      </c>
      <c r="C7" s="6" t="s">
        <v>457</v>
      </c>
      <c r="D7" s="6" t="s">
        <v>458</v>
      </c>
      <c r="E7" s="6" t="s">
        <v>459</v>
      </c>
      <c r="F7" s="6" t="s">
        <v>38</v>
      </c>
      <c r="G7" s="19"/>
    </row>
    <row r="8" customFormat="false" ht="15" hidden="false" customHeight="true" outlineLevel="0" collapsed="false">
      <c r="A8" s="6" t="s">
        <v>460</v>
      </c>
      <c r="B8" s="6" t="s">
        <v>447</v>
      </c>
      <c r="C8" s="6" t="s">
        <v>461</v>
      </c>
      <c r="D8" s="6" t="s">
        <v>462</v>
      </c>
      <c r="E8" s="6" t="s">
        <v>463</v>
      </c>
      <c r="F8" s="6" t="s">
        <v>38</v>
      </c>
      <c r="G8" s="19"/>
    </row>
    <row r="9" customFormat="false" ht="15" hidden="false" customHeight="true" outlineLevel="0" collapsed="false">
      <c r="A9" s="6" t="s">
        <v>464</v>
      </c>
      <c r="B9" s="6" t="s">
        <v>447</v>
      </c>
      <c r="C9" s="6" t="s">
        <v>465</v>
      </c>
      <c r="D9" s="6" t="s">
        <v>466</v>
      </c>
      <c r="E9" s="6" t="s">
        <v>467</v>
      </c>
      <c r="F9" s="6" t="s">
        <v>38</v>
      </c>
      <c r="G9" s="19"/>
    </row>
    <row r="10" customFormat="false" ht="15" hidden="false" customHeight="true" outlineLevel="0" collapsed="false">
      <c r="A10" s="6" t="s">
        <v>468</v>
      </c>
      <c r="B10" s="6" t="s">
        <v>447</v>
      </c>
      <c r="C10" s="6" t="s">
        <v>469</v>
      </c>
      <c r="D10" s="6" t="s">
        <v>470</v>
      </c>
      <c r="E10" s="6" t="s">
        <v>471</v>
      </c>
      <c r="F10" s="6" t="s">
        <v>38</v>
      </c>
      <c r="G10" s="19"/>
    </row>
    <row r="11" customFormat="false" ht="15" hidden="false" customHeight="true" outlineLevel="0" collapsed="false">
      <c r="A11" s="6" t="s">
        <v>472</v>
      </c>
      <c r="B11" s="6" t="s">
        <v>447</v>
      </c>
      <c r="C11" s="6" t="s">
        <v>473</v>
      </c>
      <c r="D11" s="6" t="s">
        <v>474</v>
      </c>
      <c r="E11" s="6" t="s">
        <v>471</v>
      </c>
      <c r="F11" s="6" t="s">
        <v>38</v>
      </c>
      <c r="G11" s="19" t="s">
        <v>475</v>
      </c>
    </row>
    <row r="12" customFormat="false" ht="15" hidden="false" customHeight="true" outlineLevel="0" collapsed="false">
      <c r="A12" s="6" t="s">
        <v>476</v>
      </c>
      <c r="B12" s="6" t="s">
        <v>447</v>
      </c>
      <c r="C12" s="6" t="s">
        <v>477</v>
      </c>
      <c r="D12" s="6" t="s">
        <v>478</v>
      </c>
      <c r="E12" s="6" t="s">
        <v>463</v>
      </c>
      <c r="F12" s="6" t="s">
        <v>38</v>
      </c>
      <c r="G12" s="19"/>
    </row>
    <row r="13" customFormat="false" ht="15" hidden="false" customHeight="true" outlineLevel="0" collapsed="false">
      <c r="A13" s="6" t="s">
        <v>479</v>
      </c>
      <c r="B13" s="6" t="s">
        <v>447</v>
      </c>
      <c r="C13" s="6" t="s">
        <v>480</v>
      </c>
      <c r="D13" s="6" t="s">
        <v>481</v>
      </c>
      <c r="E13" s="6" t="s">
        <v>467</v>
      </c>
      <c r="F13" s="6" t="s">
        <v>38</v>
      </c>
      <c r="G13" s="19"/>
    </row>
    <row r="14" customFormat="false" ht="15" hidden="false" customHeight="true" outlineLevel="0" collapsed="false">
      <c r="A14" s="6" t="s">
        <v>482</v>
      </c>
      <c r="B14" s="6" t="s">
        <v>447</v>
      </c>
      <c r="C14" s="6" t="s">
        <v>483</v>
      </c>
      <c r="D14" s="6" t="s">
        <v>484</v>
      </c>
      <c r="E14" s="6" t="s">
        <v>485</v>
      </c>
      <c r="F14" s="6" t="s">
        <v>38</v>
      </c>
      <c r="G14" s="19"/>
    </row>
    <row r="15" customFormat="false" ht="15" hidden="false" customHeight="true" outlineLevel="0" collapsed="false">
      <c r="A15" s="6" t="s">
        <v>486</v>
      </c>
      <c r="B15" s="6" t="s">
        <v>447</v>
      </c>
      <c r="C15" s="6" t="s">
        <v>487</v>
      </c>
      <c r="D15" s="6" t="s">
        <v>484</v>
      </c>
      <c r="E15" s="6" t="s">
        <v>467</v>
      </c>
      <c r="F15" s="6" t="s">
        <v>38</v>
      </c>
      <c r="G15" s="19"/>
    </row>
    <row r="16" customFormat="false" ht="15" hidden="false" customHeight="true" outlineLevel="0" collapsed="false">
      <c r="A16" s="6" t="s">
        <v>488</v>
      </c>
      <c r="B16" s="6" t="s">
        <v>447</v>
      </c>
      <c r="C16" s="6" t="s">
        <v>489</v>
      </c>
      <c r="D16" s="6" t="s">
        <v>470</v>
      </c>
      <c r="E16" s="6" t="s">
        <v>459</v>
      </c>
      <c r="F16" s="6" t="s">
        <v>38</v>
      </c>
      <c r="G16" s="19"/>
    </row>
    <row r="17" customFormat="false" ht="15" hidden="false" customHeight="true" outlineLevel="0" collapsed="false">
      <c r="A17" s="6" t="s">
        <v>490</v>
      </c>
      <c r="B17" s="6" t="s">
        <v>447</v>
      </c>
      <c r="C17" s="6" t="s">
        <v>491</v>
      </c>
      <c r="D17" s="6" t="s">
        <v>474</v>
      </c>
      <c r="E17" s="6" t="s">
        <v>492</v>
      </c>
      <c r="F17" s="6" t="s">
        <v>38</v>
      </c>
      <c r="G17" s="19"/>
    </row>
    <row r="18" customFormat="false" ht="15" hidden="false" customHeight="true" outlineLevel="0" collapsed="false">
      <c r="A18" s="6" t="s">
        <v>493</v>
      </c>
      <c r="B18" s="6" t="s">
        <v>447</v>
      </c>
      <c r="C18" s="6" t="s">
        <v>494</v>
      </c>
      <c r="D18" s="6" t="s">
        <v>495</v>
      </c>
      <c r="E18" s="6" t="s">
        <v>450</v>
      </c>
      <c r="F18" s="6" t="s">
        <v>38</v>
      </c>
      <c r="G18" s="19" t="s">
        <v>496</v>
      </c>
    </row>
    <row r="19" customFormat="false" ht="15" hidden="false" customHeight="true" outlineLevel="0" collapsed="false">
      <c r="A19" s="6" t="s">
        <v>497</v>
      </c>
      <c r="B19" s="6" t="s">
        <v>447</v>
      </c>
      <c r="C19" s="6" t="s">
        <v>498</v>
      </c>
      <c r="D19" s="6" t="s">
        <v>499</v>
      </c>
      <c r="E19" s="6" t="s">
        <v>450</v>
      </c>
      <c r="F19" s="6" t="s">
        <v>38</v>
      </c>
      <c r="G19" s="19" t="s">
        <v>500</v>
      </c>
    </row>
    <row r="20" customFormat="false" ht="15" hidden="false" customHeight="true" outlineLevel="0" collapsed="false">
      <c r="A20" s="6" t="s">
        <v>501</v>
      </c>
      <c r="B20" s="6" t="s">
        <v>447</v>
      </c>
      <c r="C20" s="6" t="s">
        <v>502</v>
      </c>
      <c r="D20" s="6" t="s">
        <v>503</v>
      </c>
      <c r="E20" s="6" t="s">
        <v>471</v>
      </c>
      <c r="F20" s="6" t="s">
        <v>38</v>
      </c>
      <c r="G20" s="19"/>
    </row>
    <row r="21" customFormat="false" ht="15" hidden="false" customHeight="true" outlineLevel="0" collapsed="false">
      <c r="A21" s="6" t="s">
        <v>504</v>
      </c>
      <c r="B21" s="6" t="s">
        <v>447</v>
      </c>
      <c r="C21" s="6" t="s">
        <v>505</v>
      </c>
      <c r="D21" s="6" t="s">
        <v>506</v>
      </c>
      <c r="E21" s="6" t="s">
        <v>507</v>
      </c>
      <c r="F21" s="6" t="s">
        <v>38</v>
      </c>
      <c r="G21" s="19" t="s">
        <v>508</v>
      </c>
    </row>
    <row r="22" customFormat="false" ht="15" hidden="false" customHeight="true" outlineLevel="0" collapsed="false">
      <c r="A22" s="6" t="s">
        <v>509</v>
      </c>
      <c r="B22" s="6" t="s">
        <v>510</v>
      </c>
      <c r="C22" s="6" t="s">
        <v>511</v>
      </c>
      <c r="D22" s="6" t="s">
        <v>512</v>
      </c>
      <c r="E22" s="6" t="s">
        <v>513</v>
      </c>
      <c r="F22" s="6" t="s">
        <v>38</v>
      </c>
      <c r="G22" s="19"/>
    </row>
    <row r="23" customFormat="false" ht="15" hidden="false" customHeight="true" outlineLevel="0" collapsed="false">
      <c r="A23" s="6" t="s">
        <v>514</v>
      </c>
      <c r="B23" s="6" t="s">
        <v>510</v>
      </c>
      <c r="C23" s="6" t="s">
        <v>515</v>
      </c>
      <c r="D23" s="6" t="s">
        <v>512</v>
      </c>
      <c r="E23" s="6" t="s">
        <v>513</v>
      </c>
      <c r="F23" s="6" t="s">
        <v>38</v>
      </c>
      <c r="G23" s="19"/>
    </row>
    <row r="24" customFormat="false" ht="15" hidden="false" customHeight="true" outlineLevel="0" collapsed="false">
      <c r="A24" s="6" t="s">
        <v>516</v>
      </c>
      <c r="B24" s="6" t="s">
        <v>510</v>
      </c>
      <c r="C24" s="6" t="s">
        <v>517</v>
      </c>
      <c r="D24" s="6" t="s">
        <v>512</v>
      </c>
      <c r="E24" s="6" t="s">
        <v>518</v>
      </c>
      <c r="F24" s="6" t="s">
        <v>38</v>
      </c>
      <c r="G24" s="19"/>
    </row>
    <row r="25" customFormat="false" ht="15" hidden="false" customHeight="true" outlineLevel="0" collapsed="false">
      <c r="A25" s="6" t="s">
        <v>519</v>
      </c>
      <c r="B25" s="6" t="s">
        <v>510</v>
      </c>
      <c r="C25" s="6" t="s">
        <v>520</v>
      </c>
      <c r="D25" s="6" t="s">
        <v>521</v>
      </c>
      <c r="E25" s="6" t="s">
        <v>513</v>
      </c>
      <c r="F25" s="6" t="s">
        <v>38</v>
      </c>
      <c r="G25" s="19"/>
    </row>
    <row r="26" customFormat="false" ht="15" hidden="false" customHeight="true" outlineLevel="0" collapsed="false">
      <c r="A26" s="6" t="s">
        <v>522</v>
      </c>
      <c r="B26" s="6" t="s">
        <v>510</v>
      </c>
      <c r="C26" s="6" t="s">
        <v>523</v>
      </c>
      <c r="D26" s="6" t="s">
        <v>524</v>
      </c>
      <c r="E26" s="6" t="s">
        <v>518</v>
      </c>
      <c r="F26" s="6" t="s">
        <v>38</v>
      </c>
      <c r="G26" s="19"/>
    </row>
    <row r="27" customFormat="false" ht="15" hidden="false" customHeight="true" outlineLevel="0" collapsed="false">
      <c r="A27" s="6" t="s">
        <v>525</v>
      </c>
      <c r="B27" s="6" t="s">
        <v>526</v>
      </c>
      <c r="C27" s="6" t="s">
        <v>527</v>
      </c>
      <c r="D27" s="6" t="s">
        <v>527</v>
      </c>
      <c r="E27" s="6" t="s">
        <v>527</v>
      </c>
      <c r="F27" s="6" t="s">
        <v>43</v>
      </c>
      <c r="G27" s="19" t="s">
        <v>528</v>
      </c>
    </row>
    <row r="28" customFormat="false" ht="15" hidden="false" customHeight="true" outlineLevel="0" collapsed="false">
      <c r="A28" s="6" t="s">
        <v>529</v>
      </c>
      <c r="B28" s="6" t="s">
        <v>526</v>
      </c>
      <c r="C28" s="6" t="s">
        <v>527</v>
      </c>
      <c r="D28" s="6" t="s">
        <v>527</v>
      </c>
      <c r="E28" s="6" t="s">
        <v>527</v>
      </c>
      <c r="F28" s="6" t="s">
        <v>43</v>
      </c>
      <c r="G28" s="19" t="s">
        <v>530</v>
      </c>
    </row>
  </sheetData>
  <autoFilter ref="A4:G28"/>
  <conditionalFormatting sqref="F5:F28">
    <cfRule type="expression" priority="2" aboveAverage="0" equalAverage="0" bottom="0" percent="0" rank="0" text="" dxfId="7">
      <formula>F5="Not started"</formula>
    </cfRule>
    <cfRule type="expression" priority="3" aboveAverage="0" equalAverage="0" bottom="0" percent="0" rank="0" text="" dxfId="8">
      <formula>F5="In progress"</formula>
    </cfRule>
    <cfRule type="expression" priority="4" aboveAverage="0" equalAverage="0" bottom="0" percent="0" rank="0" text="" dxfId="9">
      <formula>F5="Review"</formula>
    </cfRule>
    <cfRule type="expression" priority="5" aboveAverage="0" equalAverage="0" bottom="0" percent="0" rank="0" text="" dxfId="10">
      <formula>F5="Approved"</formula>
    </cfRule>
    <cfRule type="expression" priority="6" aboveAverage="0" equalAverage="0" bottom="0" percent="0" rank="0" text="" dxfId="11">
      <formula>F5="Blocked"</formula>
    </cfRule>
    <cfRule type="expression" priority="7" aboveAverage="0" equalAverage="0" bottom="0" percent="0" rank="0" text="" dxfId="12">
      <formula>F5="N/A"</formula>
    </cfRule>
  </conditionalFormatting>
  <conditionalFormatting sqref="B5:B28">
    <cfRule type="expression" priority="8" aboveAverage="0" equalAverage="0" bottom="0" percent="0" rank="0" text="" dxfId="10">
      <formula>B5="A · use freely"</formula>
    </cfRule>
    <cfRule type="expression" priority="9" aboveAverage="0" equalAverage="0" bottom="0" percent="0" rank="0" text="" dxfId="9">
      <formula>B5="B · short holds / backgrounds"</formula>
    </cfRule>
    <cfRule type="expression" priority="10" aboveAverage="0" equalAverage="0" bottom="0" percent="0" rank="0" text="" dxfId="11">
      <formula>B5="C · avoid"</formula>
    </cfRule>
  </conditionalFormatting>
  <dataValidations count="1">
    <dataValidation allowBlank="true" errorStyle="stop" operator="between" showDropDown="false" showErrorMessage="false" showInputMessage="false" sqref="F5:F28" type="list">
      <formula1>"Not started,In progress,Review,Approved,Blocked,N/A"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6FDE"/>
    <pageSetUpPr fitToPage="false"/>
  </sheetPr>
  <dimension ref="A1:J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20"/>
    <col collapsed="false" customWidth="true" hidden="false" outlineLevel="0" max="3" min="3" style="1" width="16"/>
    <col collapsed="false" customWidth="true" hidden="false" outlineLevel="0" max="4" min="4" style="1" width="9"/>
    <col collapsed="false" customWidth="true" hidden="false" outlineLevel="0" max="6" min="5" style="1" width="12"/>
    <col collapsed="false" customWidth="true" hidden="false" outlineLevel="0" max="7" min="7" style="1" width="11"/>
    <col collapsed="false" customWidth="true" hidden="false" outlineLevel="0" max="8" min="8" style="1" width="13"/>
    <col collapsed="false" customWidth="true" hidden="false" outlineLevel="0" max="9" min="9" style="1" width="14"/>
    <col collapsed="false" customWidth="true" hidden="false" outlineLevel="0" max="10" min="10" style="1" width="62"/>
  </cols>
  <sheetData>
    <row r="1" customFormat="false" ht="25.5" hidden="false" customHeight="true" outlineLevel="0" collapsed="false">
      <c r="A1" s="2" t="s">
        <v>531</v>
      </c>
    </row>
    <row r="2" customFormat="false" ht="15" hidden="false" customHeight="true" outlineLevel="0" collapsed="false">
      <c r="A2" s="3" t="s">
        <v>532</v>
      </c>
    </row>
    <row r="4" customFormat="false" ht="31.5" hidden="false" customHeight="true" outlineLevel="0" collapsed="false">
      <c r="A4" s="5" t="s">
        <v>533</v>
      </c>
      <c r="B4" s="5" t="s">
        <v>534</v>
      </c>
      <c r="C4" s="5" t="s">
        <v>535</v>
      </c>
      <c r="D4" s="5" t="s">
        <v>536</v>
      </c>
      <c r="E4" s="5" t="s">
        <v>537</v>
      </c>
      <c r="F4" s="5" t="s">
        <v>538</v>
      </c>
    </row>
    <row r="5" customFormat="false" ht="57" hidden="false" customHeight="true" outlineLevel="0" collapsed="false">
      <c r="A5" s="6" t="n">
        <v>1</v>
      </c>
      <c r="B5" s="6" t="s">
        <v>539</v>
      </c>
      <c r="C5" s="6" t="s">
        <v>540</v>
      </c>
      <c r="D5" s="6" t="s">
        <v>541</v>
      </c>
      <c r="E5" s="6" t="s">
        <v>542</v>
      </c>
      <c r="F5" s="6" t="s">
        <v>543</v>
      </c>
    </row>
    <row r="6" customFormat="false" ht="79.5" hidden="false" customHeight="true" outlineLevel="0" collapsed="false">
      <c r="A6" s="6" t="n">
        <v>2</v>
      </c>
      <c r="B6" s="6" t="s">
        <v>544</v>
      </c>
      <c r="C6" s="6" t="s">
        <v>545</v>
      </c>
      <c r="D6" s="6" t="s">
        <v>546</v>
      </c>
      <c r="E6" s="6" t="s">
        <v>547</v>
      </c>
      <c r="F6" s="6" t="s">
        <v>548</v>
      </c>
    </row>
    <row r="7" customFormat="false" ht="68.25" hidden="false" customHeight="true" outlineLevel="0" collapsed="false">
      <c r="A7" s="6" t="n">
        <v>3</v>
      </c>
      <c r="B7" s="6" t="s">
        <v>549</v>
      </c>
      <c r="C7" s="6" t="s">
        <v>550</v>
      </c>
      <c r="D7" s="6" t="s">
        <v>551</v>
      </c>
      <c r="E7" s="6" t="s">
        <v>552</v>
      </c>
      <c r="F7" s="6" t="s">
        <v>553</v>
      </c>
    </row>
    <row r="8" customFormat="false" ht="79.5" hidden="false" customHeight="true" outlineLevel="0" collapsed="false">
      <c r="A8" s="6" t="n">
        <v>4</v>
      </c>
      <c r="B8" s="6" t="s">
        <v>150</v>
      </c>
      <c r="C8" s="6" t="s">
        <v>554</v>
      </c>
      <c r="D8" s="6" t="s">
        <v>555</v>
      </c>
      <c r="E8" s="6" t="s">
        <v>556</v>
      </c>
      <c r="F8" s="6" t="s">
        <v>557</v>
      </c>
    </row>
    <row r="9" customFormat="false" ht="79.5" hidden="false" customHeight="true" outlineLevel="0" collapsed="false">
      <c r="A9" s="6" t="n">
        <v>5</v>
      </c>
      <c r="B9" s="6" t="s">
        <v>558</v>
      </c>
      <c r="C9" s="6" t="s">
        <v>559</v>
      </c>
      <c r="D9" s="6" t="s">
        <v>560</v>
      </c>
      <c r="E9" s="6" t="s">
        <v>561</v>
      </c>
      <c r="F9" s="6" t="s">
        <v>557</v>
      </c>
    </row>
    <row r="10" customFormat="false" ht="57" hidden="false" customHeight="true" outlineLevel="0" collapsed="false">
      <c r="A10" s="6" t="n">
        <v>6</v>
      </c>
      <c r="B10" s="6" t="s">
        <v>139</v>
      </c>
      <c r="C10" s="6" t="s">
        <v>562</v>
      </c>
      <c r="D10" s="6" t="s">
        <v>563</v>
      </c>
      <c r="E10" s="6" t="s">
        <v>564</v>
      </c>
      <c r="F10" s="6" t="s">
        <v>565</v>
      </c>
    </row>
    <row r="11" customFormat="false" ht="57" hidden="false" customHeight="true" outlineLevel="0" collapsed="false">
      <c r="A11" s="6" t="n">
        <v>7</v>
      </c>
      <c r="B11" s="6" t="s">
        <v>566</v>
      </c>
      <c r="C11" s="6" t="s">
        <v>567</v>
      </c>
      <c r="D11" s="6" t="s">
        <v>568</v>
      </c>
      <c r="E11" s="6" t="s">
        <v>569</v>
      </c>
      <c r="F11" s="6" t="s">
        <v>570</v>
      </c>
    </row>
    <row r="12" customFormat="false" ht="90.75" hidden="false" customHeight="true" outlineLevel="0" collapsed="false">
      <c r="A12" s="6" t="n">
        <v>8</v>
      </c>
      <c r="B12" s="6" t="s">
        <v>571</v>
      </c>
      <c r="C12" s="6" t="s">
        <v>572</v>
      </c>
      <c r="D12" s="6" t="s">
        <v>573</v>
      </c>
      <c r="E12" s="6" t="s">
        <v>574</v>
      </c>
      <c r="F12" s="6" t="s">
        <v>570</v>
      </c>
    </row>
    <row r="13" customFormat="false" ht="79.5" hidden="false" customHeight="true" outlineLevel="0" collapsed="false">
      <c r="A13" s="6" t="n">
        <v>9</v>
      </c>
      <c r="B13" s="6" t="s">
        <v>575</v>
      </c>
      <c r="C13" s="6" t="s">
        <v>576</v>
      </c>
      <c r="D13" s="6" t="s">
        <v>577</v>
      </c>
      <c r="E13" s="6" t="s">
        <v>578</v>
      </c>
      <c r="F13" s="6" t="s">
        <v>579</v>
      </c>
    </row>
    <row r="14" customFormat="false" ht="45.75" hidden="false" customHeight="true" outlineLevel="0" collapsed="false">
      <c r="A14" s="6" t="n">
        <v>10</v>
      </c>
      <c r="B14" s="6" t="s">
        <v>580</v>
      </c>
      <c r="C14" s="20" t="s">
        <v>581</v>
      </c>
      <c r="D14" s="6" t="s">
        <v>582</v>
      </c>
      <c r="E14" s="6" t="s">
        <v>583</v>
      </c>
      <c r="F14" s="6" t="s">
        <v>584</v>
      </c>
    </row>
    <row r="16" customFormat="false" ht="15" hidden="false" customHeight="true" outlineLevel="0" collapsed="false">
      <c r="A16" s="21" t="s">
        <v>585</v>
      </c>
    </row>
    <row r="17" customFormat="false" ht="15" hidden="false" customHeight="true" outlineLevel="0" collapsed="false">
      <c r="A17" s="7" t="s">
        <v>586</v>
      </c>
      <c r="B17" s="22" t="n">
        <v>0.065</v>
      </c>
    </row>
    <row r="18" customFormat="false" ht="15" hidden="false" customHeight="true" outlineLevel="0" collapsed="false">
      <c r="A18" s="7" t="s">
        <v>587</v>
      </c>
      <c r="B18" s="22" t="n">
        <v>0.013</v>
      </c>
    </row>
    <row r="19" customFormat="false" ht="15" hidden="false" customHeight="true" outlineLevel="0" collapsed="false">
      <c r="A19" s="7" t="s">
        <v>588</v>
      </c>
      <c r="B19" s="22" t="n">
        <v>0.0033</v>
      </c>
    </row>
    <row r="20" customFormat="false" ht="15" hidden="false" customHeight="true" outlineLevel="0" collapsed="false">
      <c r="A20" s="17" t="s">
        <v>589</v>
      </c>
    </row>
    <row r="22" customFormat="false" ht="15" hidden="false" customHeight="true" outlineLevel="0" collapsed="false">
      <c r="A22" s="4" t="s">
        <v>590</v>
      </c>
    </row>
    <row r="23" customFormat="false" ht="31.5" hidden="false" customHeight="true" outlineLevel="0" collapsed="false">
      <c r="A23" s="5" t="s">
        <v>591</v>
      </c>
      <c r="B23" s="5" t="s">
        <v>3</v>
      </c>
      <c r="C23" s="5" t="s">
        <v>533</v>
      </c>
      <c r="D23" s="5" t="s">
        <v>592</v>
      </c>
      <c r="E23" s="5" t="s">
        <v>593</v>
      </c>
      <c r="F23" s="5" t="s">
        <v>594</v>
      </c>
      <c r="G23" s="5" t="s">
        <v>595</v>
      </c>
      <c r="H23" s="5" t="s">
        <v>596</v>
      </c>
      <c r="I23" s="5" t="s">
        <v>597</v>
      </c>
      <c r="J23" s="5" t="s">
        <v>598</v>
      </c>
    </row>
    <row r="24" customFormat="false" ht="15" hidden="false" customHeight="true" outlineLevel="0" collapsed="false">
      <c r="A24" s="6" t="s">
        <v>599</v>
      </c>
      <c r="B24" s="6" t="s">
        <v>12</v>
      </c>
      <c r="C24" s="6" t="s">
        <v>600</v>
      </c>
      <c r="D24" s="23" t="n">
        <v>1</v>
      </c>
      <c r="E24" s="23" t="n">
        <v>9</v>
      </c>
      <c r="F24" s="6" t="n">
        <f aca="false">D24*E24</f>
        <v>9</v>
      </c>
      <c r="G24" s="24" t="n">
        <f aca="false">F24*$B$17</f>
        <v>0.585</v>
      </c>
      <c r="H24" s="24" t="n">
        <f aca="false">F24*$B$18</f>
        <v>0.117</v>
      </c>
      <c r="I24" s="24" t="n">
        <f aca="false">F24*$B$19</f>
        <v>0.0297</v>
      </c>
      <c r="J24" s="6" t="s">
        <v>601</v>
      </c>
    </row>
    <row r="25" customFormat="false" ht="15" hidden="false" customHeight="true" outlineLevel="0" collapsed="false">
      <c r="A25" s="6" t="s">
        <v>602</v>
      </c>
      <c r="B25" s="6" t="s">
        <v>12</v>
      </c>
      <c r="C25" s="6" t="s">
        <v>600</v>
      </c>
      <c r="D25" s="23" t="n">
        <v>7</v>
      </c>
      <c r="E25" s="23" t="n">
        <v>3.5</v>
      </c>
      <c r="F25" s="6" t="n">
        <f aca="false">D25*E25</f>
        <v>24.5</v>
      </c>
      <c r="G25" s="24" t="n">
        <f aca="false">F25*$B$17</f>
        <v>1.5925</v>
      </c>
      <c r="H25" s="24" t="n">
        <f aca="false">F25*$B$18</f>
        <v>0.3185</v>
      </c>
      <c r="I25" s="24" t="n">
        <f aca="false">F25*$B$19</f>
        <v>0.08085</v>
      </c>
      <c r="J25" s="6" t="s">
        <v>603</v>
      </c>
    </row>
    <row r="26" customFormat="false" ht="15" hidden="false" customHeight="true" outlineLevel="0" collapsed="false">
      <c r="A26" s="6" t="s">
        <v>604</v>
      </c>
      <c r="B26" s="6" t="s">
        <v>16</v>
      </c>
      <c r="C26" s="6" t="s">
        <v>605</v>
      </c>
      <c r="D26" s="23" t="n">
        <v>1</v>
      </c>
      <c r="E26" s="23" t="n">
        <v>9</v>
      </c>
      <c r="F26" s="6" t="n">
        <f aca="false">D26*E26</f>
        <v>9</v>
      </c>
      <c r="G26" s="24" t="n">
        <f aca="false">F26*$B$17</f>
        <v>0.585</v>
      </c>
      <c r="H26" s="24" t="n">
        <f aca="false">F26*$B$18</f>
        <v>0.117</v>
      </c>
      <c r="I26" s="24" t="n">
        <f aca="false">F26*$B$19</f>
        <v>0.0297</v>
      </c>
      <c r="J26" s="6" t="s">
        <v>606</v>
      </c>
    </row>
    <row r="27" customFormat="false" ht="15" hidden="false" customHeight="true" outlineLevel="0" collapsed="false">
      <c r="A27" s="6" t="s">
        <v>607</v>
      </c>
      <c r="B27" s="6" t="s">
        <v>16</v>
      </c>
      <c r="C27" s="6" t="s">
        <v>605</v>
      </c>
      <c r="D27" s="23" t="n">
        <v>7</v>
      </c>
      <c r="E27" s="23" t="n">
        <v>3.5</v>
      </c>
      <c r="F27" s="6" t="n">
        <f aca="false">D27*E27</f>
        <v>24.5</v>
      </c>
      <c r="G27" s="24" t="n">
        <f aca="false">F27*$B$17</f>
        <v>1.5925</v>
      </c>
      <c r="H27" s="24" t="n">
        <f aca="false">F27*$B$18</f>
        <v>0.3185</v>
      </c>
      <c r="I27" s="24" t="n">
        <f aca="false">F27*$B$19</f>
        <v>0.08085</v>
      </c>
      <c r="J27" s="6" t="s">
        <v>608</v>
      </c>
    </row>
    <row r="28" customFormat="false" ht="15" hidden="false" customHeight="true" outlineLevel="0" collapsed="false">
      <c r="A28" s="6" t="s">
        <v>609</v>
      </c>
      <c r="B28" s="6" t="s">
        <v>16</v>
      </c>
      <c r="C28" s="6" t="s">
        <v>600</v>
      </c>
      <c r="D28" s="23" t="n">
        <v>1</v>
      </c>
      <c r="E28" s="23" t="n">
        <v>8</v>
      </c>
      <c r="F28" s="6" t="n">
        <f aca="false">D28*E28</f>
        <v>8</v>
      </c>
      <c r="G28" s="24" t="n">
        <f aca="false">F28*$B$17</f>
        <v>0.52</v>
      </c>
      <c r="H28" s="24" t="n">
        <f aca="false">F28*$B$18</f>
        <v>0.104</v>
      </c>
      <c r="I28" s="24" t="n">
        <f aca="false">F28*$B$19</f>
        <v>0.0264</v>
      </c>
      <c r="J28" s="6" t="s">
        <v>610</v>
      </c>
    </row>
    <row r="29" customFormat="false" ht="15" hidden="false" customHeight="true" outlineLevel="0" collapsed="false">
      <c r="A29" s="6" t="s">
        <v>611</v>
      </c>
      <c r="B29" s="6" t="s">
        <v>16</v>
      </c>
      <c r="C29" s="6" t="s">
        <v>600</v>
      </c>
      <c r="D29" s="23" t="n">
        <v>7</v>
      </c>
      <c r="E29" s="23" t="n">
        <v>3.5</v>
      </c>
      <c r="F29" s="6" t="n">
        <f aca="false">D29*E29</f>
        <v>24.5</v>
      </c>
      <c r="G29" s="24" t="n">
        <f aca="false">F29*$B$17</f>
        <v>1.5925</v>
      </c>
      <c r="H29" s="24" t="n">
        <f aca="false">F29*$B$18</f>
        <v>0.3185</v>
      </c>
      <c r="I29" s="24" t="n">
        <f aca="false">F29*$B$19</f>
        <v>0.08085</v>
      </c>
      <c r="J29" s="6" t="s">
        <v>612</v>
      </c>
    </row>
    <row r="30" customFormat="false" ht="15" hidden="false" customHeight="true" outlineLevel="0" collapsed="false">
      <c r="A30" s="6" t="s">
        <v>220</v>
      </c>
      <c r="B30" s="6" t="s">
        <v>20</v>
      </c>
      <c r="C30" s="6" t="s">
        <v>613</v>
      </c>
      <c r="D30" s="23" t="n">
        <v>1</v>
      </c>
      <c r="E30" s="23" t="n">
        <v>12</v>
      </c>
      <c r="F30" s="6" t="n">
        <f aca="false">D30*E30</f>
        <v>12</v>
      </c>
      <c r="G30" s="24" t="n">
        <f aca="false">F30*$B$17</f>
        <v>0.78</v>
      </c>
      <c r="H30" s="24" t="n">
        <f aca="false">F30*$B$18</f>
        <v>0.156</v>
      </c>
      <c r="I30" s="24" t="n">
        <f aca="false">F30*$B$19</f>
        <v>0.0396</v>
      </c>
      <c r="J30" s="6" t="s">
        <v>614</v>
      </c>
    </row>
    <row r="31" customFormat="false" ht="15" hidden="false" customHeight="true" outlineLevel="0" collapsed="false">
      <c r="A31" s="6" t="s">
        <v>227</v>
      </c>
      <c r="B31" s="6" t="s">
        <v>20</v>
      </c>
      <c r="C31" s="6" t="s">
        <v>615</v>
      </c>
      <c r="D31" s="23" t="n">
        <v>1</v>
      </c>
      <c r="E31" s="23" t="n">
        <v>7</v>
      </c>
      <c r="F31" s="6" t="n">
        <f aca="false">D31*E31</f>
        <v>7</v>
      </c>
      <c r="G31" s="24" t="n">
        <f aca="false">F31*$B$17</f>
        <v>0.455</v>
      </c>
      <c r="H31" s="24" t="n">
        <f aca="false">F31*$B$18</f>
        <v>0.091</v>
      </c>
      <c r="I31" s="24" t="n">
        <f aca="false">F31*$B$19</f>
        <v>0.0231</v>
      </c>
      <c r="J31" s="6" t="s">
        <v>616</v>
      </c>
    </row>
    <row r="32" customFormat="false" ht="15" hidden="false" customHeight="true" outlineLevel="0" collapsed="false">
      <c r="A32" s="25" t="s">
        <v>617</v>
      </c>
      <c r="B32" s="25"/>
      <c r="C32" s="25"/>
      <c r="D32" s="25" t="n">
        <f aca="false">SUM(D24:D31)</f>
        <v>26</v>
      </c>
      <c r="E32" s="25"/>
      <c r="F32" s="25" t="n">
        <f aca="false">SUM(F24:F31)</f>
        <v>118.5</v>
      </c>
      <c r="G32" s="26" t="n">
        <f aca="false">SUM(G24:G31)</f>
        <v>7.7025</v>
      </c>
      <c r="H32" s="26" t="n">
        <f aca="false">SUM(H24:H31)</f>
        <v>1.5405</v>
      </c>
      <c r="I32" s="26" t="n">
        <f aca="false">SUM(I24:I31)</f>
        <v>0.39105</v>
      </c>
      <c r="J32" s="25"/>
    </row>
    <row r="33" customFormat="false" ht="15" hidden="false" customHeight="true" outlineLevel="0" collapsed="false">
      <c r="A33" s="17" t="s">
        <v>618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2026-10-04T11:18:33Z</dcterms:created>
  <dc:creator>openpyxl</dc:creator>
  <dc:description/>
  <dc:language>en-US</dc:language>
  <cp:lastModifiedBy/>
  <dcterms:modified xsi:type="dcterms:W3CDTF">2026-10-04T12:46:07Z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