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 Streamer Stories" sheetId="2" state="visible" r:id="rId4"/>
    <sheet name="2 Brand · Generic" sheetId="3" state="visible" r:id="rId5"/>
    <sheet name="3 Brand · Master" sheetId="4" state="visible" r:id="rId6"/>
    <sheet name="Story &amp; Song" sheetId="5" state="visible" r:id="rId7"/>
    <sheet name="Assets" sheetId="6" state="visible" r:id="rId8"/>
    <sheet name="Style Library" sheetId="7" state="visible" r:id="rId9"/>
    <sheet name="Effort Levels" sheetId="8" state="visible" r:id="rId10"/>
  </sheets>
  <definedNames>
    <definedName function="false" hidden="true" localSheetId="1" name="_xlnm._FilterDatabase" vbProcedure="false">'1 Streamer Stories'!$A$4:$U$13</definedName>
    <definedName function="false" hidden="true" localSheetId="2" name="_xlnm._FilterDatabase" vbProcedure="false">'2 Brand · Generic'!$A$4:$V$20</definedName>
    <definedName function="false" hidden="true" localSheetId="3" name="_xlnm._FilterDatabase" vbProcedure="false">'3 Brand · Master'!$A$9:$I$14</definedName>
    <definedName function="false" hidden="true" localSheetId="5" name="_xlnm._FilterDatabase" vbProcedure="false">Assets!$A$4:$I$25</definedName>
    <definedName function="false" hidden="true" localSheetId="4" name="_xlnm._FilterDatabase" vbProcedure="false">'Story &amp; Song'!$A$4:$K$30</definedName>
    <definedName function="false" hidden="true" localSheetId="6" name="_xlnm._FilterDatabase" vbProcedure="false">'Style Library'!$A$4:$G$28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<sst xmlns="http://schemas.openxmlformats.org/spreadsheetml/2006/main" count="1278" uniqueCount="618">
  <si>
    <t xml:space="preserve">Chobbot media plan · v0.1 (mockup)</t>
  </si>
  <si>
    <t xml:space="preserve">Read top to bottom, then work through the section tabs. Counts below update from the tabs.</t>
  </si>
  <si>
    <t xml:space="preserve">Sections</t>
  </si>
  <si>
    <t xml:space="preserve">Section</t>
  </si>
  <si>
    <t xml:space="preserve">Tab</t>
  </si>
  <si>
    <t xml:space="preserve">What it is</t>
  </si>
  <si>
    <t xml:space="preserve">Versions</t>
  </si>
  <si>
    <t xml:space="preserve">Films</t>
  </si>
  <si>
    <t xml:space="preserve">Scripts approved</t>
  </si>
  <si>
    <t xml:space="preserve">Music approved</t>
  </si>
  <si>
    <t xml:space="preserve">Rendered (approved)</t>
  </si>
  <si>
    <t xml:space="preserve">1 · Streamer Stories</t>
  </si>
  <si>
    <t xml:space="preserve">1 Streamer Stories</t>
  </si>
  <si>
    <t xml:space="preserve">Real Reddit stories → script → music → video. One art style per episode.</t>
  </si>
  <si>
    <t xml:space="preserve">MV only</t>
  </si>
  <si>
    <t xml:space="preserve">2 · Brand · Generic</t>
  </si>
  <si>
    <t xml:space="preserve">2 Brand · Generic</t>
  </si>
  <si>
    <t xml:space="preserve">One pain → need → function per film.</t>
  </si>
  <si>
    <t xml:space="preserve">A majestic technical · B music video</t>
  </si>
  <si>
    <t xml:space="preserve">3 · Brand · Master</t>
  </si>
  <si>
    <t xml:space="preserve">3 Brand · Master</t>
  </si>
  <si>
    <t xml:space="preserve">The whole ecosystem in one film.</t>
  </si>
  <si>
    <t xml:space="preserve">Work order (every film)</t>
  </si>
  <si>
    <t xml:space="preserve">1 Brief</t>
  </si>
  <si>
    <t xml:space="preserve">Nothing is built before its script is approved and its audio exists.</t>
  </si>
  <si>
    <t xml:space="preserve">2 Script</t>
  </si>
  <si>
    <t xml:space="preserve">3 Music (written to the approved script)</t>
  </si>
  <si>
    <t xml:space="preserve">4 Audio analysis</t>
  </si>
  <si>
    <t xml:space="preserve">5 Style frames</t>
  </si>
  <si>
    <t xml:space="preserve">6 Assets</t>
  </si>
  <si>
    <t xml:space="preserve">7 Animatic</t>
  </si>
  <si>
    <t xml:space="preserve">8 Build &amp; render</t>
  </si>
  <si>
    <t xml:space="preserve">Legend</t>
  </si>
  <si>
    <t xml:space="preserve">Yellow cells</t>
  </si>
  <si>
    <t xml:space="preserve">You fill these in (titles, links, dates, owners, notes).</t>
  </si>
  <si>
    <t xml:space="preserve">Grey italic row</t>
  </si>
  <si>
    <t xml:space="preserve">Example row showing the expected format. Delete it when you start.</t>
  </si>
  <si>
    <t xml:space="preserve">Status values (dropdown in every status column)</t>
  </si>
  <si>
    <t xml:space="preserve">Not started</t>
  </si>
  <si>
    <t xml:space="preserve">In progress</t>
  </si>
  <si>
    <t xml:space="preserve">Review</t>
  </si>
  <si>
    <t xml:space="preserve">Approved</t>
  </si>
  <si>
    <t xml:space="preserve">Blocked</t>
  </si>
  <si>
    <t xml:space="preserve">N/A</t>
  </si>
  <si>
    <t xml:space="preserve">Open items</t>
  </si>
  <si>
    <t xml:space="preserve">☐  Real product feature list (replaces every “(confirm)” in tab 2)</t>
  </si>
  <si>
    <t xml:space="preserve">☐  Brand tokens: colours, fonts, logo SVG (from the web design)</t>
  </si>
  <si>
    <t xml:space="preserve">☐  Pain-point ranking: goignon report + 10 streamer interviews (docs/USE_CASES.md §7)</t>
  </si>
  <si>
    <t xml:space="preserve">☐  Story Fisher: 12 stories shortlisted in n8n; pick the first 3 for tab 1</t>
  </si>
  <si>
    <t xml:space="preserve">☐  Style rule: mixed styles from the Style Library tab, no anime/cartoon humans (docs/STYLE_DECK.md)</t>
  </si>
  <si>
    <t xml:space="preserve">☐  Songs: every film ≥ 45 s; prompts and lyrics in tab Story &amp; Song (docs/SUNO_GUIDE.md)</t>
  </si>
  <si>
    <t xml:space="preserve">☐  Every Story opens with “Based on a true story” (1.5 bars, 2.5–3 s, over the first shot)</t>
  </si>
  <si>
    <t xml:space="preserve">Source docs: brand-video/docs/ (SERIES, PIPELINE, USE_CASES, TIER_LIST, CONCEPT). Version 0.1, 2026-10-03.</t>
  </si>
  <si>
    <t xml:space="preserve">☐  All statistics on screen verified at the primary source</t>
  </si>
  <si>
    <t xml:space="preserve">Section 1 · Streamer Stories (music videos)</t>
  </si>
  <si>
    <t xml:space="preserve">Method: Reddit story → script → music → video. Stories come from the n8n Story Fisher (table reddit_streamer_stories, status = new). One art style per episode; the companion only as a cameo.</t>
  </si>
  <si>
    <t xml:space="preserve">ID</t>
  </si>
  <si>
    <t xml:space="preserve">Working title</t>
  </si>
  <si>
    <t xml:space="preserve">Story source (Reddit link)</t>
  </si>
  <si>
    <t xml:space="preserve">Logline (facts only)</t>
  </si>
  <si>
    <t xml:space="preserve">Emotion</t>
  </si>
  <si>
    <t xml:space="preserve">Pain #s</t>
  </si>
  <si>
    <t xml:space="preserve">Persona</t>
  </si>
  <si>
    <t xml:space="preserve">Style deck (home → switches)</t>
  </si>
  <si>
    <t xml:space="preserve">Song genre / tempo</t>
  </si>
  <si>
    <t xml:space="preserve">Format</t>
  </si>
  <si>
    <t xml:space="preserve">Length</t>
  </si>
  <si>
    <t xml:space="preserve">Rights / permission</t>
  </si>
  <si>
    <t xml:space="preserve">Script</t>
  </si>
  <si>
    <t xml:space="preserve">Music</t>
  </si>
  <si>
    <t xml:space="preserve">Assets</t>
  </si>
  <si>
    <t xml:space="preserve">Animatic</t>
  </si>
  <si>
    <t xml:space="preserve">Build &amp; render</t>
  </si>
  <si>
    <t xml:space="preserve">Publish date</t>
  </si>
  <si>
    <t xml:space="preserve">Platforms</t>
  </si>
  <si>
    <t xml:space="preserve">Owner</t>
  </si>
  <si>
    <t xml:space="preserve">Notes</t>
  </si>
  <si>
    <t xml:space="preserve">ST-EX</t>
  </si>
  <si>
    <t xml:space="preserve">EXAMPLE · “The lurker who said hi” (delete this row)</t>
  </si>
  <si>
    <t xml:space="preserve">https://www.reddit.com/r/Twitch/comments/xxxxxx/</t>
  </si>
  <si>
    <t xml:space="preserve">After 40 streams with no chat, a lurker types hi on the day the streamer planned to quit.</t>
  </si>
  <si>
    <t xml:space="preserve">wholesome</t>
  </si>
  <si>
    <t xml:space="preserve">1, 8, 16</t>
  </si>
  <si>
    <t xml:space="preserve">Starter</t>
  </si>
  <si>
    <t xml:space="preserve">Pixel art → Papercut · Neon line · Constellations</t>
  </si>
  <si>
    <t xml:space="preserve">Lo-fi into a hard drop, 128 BPM</t>
  </si>
  <si>
    <t xml:space="preserve">9:16 + 16:9</t>
  </si>
  <si>
    <t xml:space="preserve">45 s</t>
  </si>
  <si>
    <t xml:space="preserve">Asked author 2026-10-05, waiting</t>
  </si>
  <si>
    <t xml:space="preserve">TikTok, Shorts, Reels</t>
  </si>
  <si>
    <t xml:space="preserve">Example of the expected format</t>
  </si>
  <si>
    <t xml:space="preserve">ST-01</t>
  </si>
  <si>
    <t xml:space="preserve">The train ride (first film, level 6)</t>
  </si>
  <si>
    <t xml:space="preserve">https://www.reddit.com/r/Twitch/comments/1pujw7y/</t>
  </si>
  <si>
    <t xml:space="preserve">Christmas IRL tour, 3 viewers at peak; one viewer, who had never been on a train, watches the city turn to farmland until the signal drops and calls it an amazing stream.</t>
  </si>
  <si>
    <t xml:space="preserve">8, 15</t>
  </si>
  <si>
    <t xml:space="preserve">Pixel art → Neon line · Halftone</t>
  </si>
  <si>
    <t xml:space="preserve">Warm lo-fi indie pop, 120 BPM</t>
  </si>
  <si>
    <t xml:space="preserve">52 s</t>
  </si>
  <si>
    <t xml:space="preserve">Anonymised retelling; permission DM drafted (in the script)</t>
  </si>
  <si>
    <t xml:space="preserve">Script: docs/scripts/ST-01_train-ride.md</t>
  </si>
  <si>
    <t xml:space="preserve">ST-02</t>
  </si>
  <si>
    <t xml:space="preserve">The raid from the hero (level 6)</t>
  </si>
  <si>
    <t xml:space="preserve">https://www.reddit.com/r/Twitch/comments/1jjlhk4/</t>
  </si>
  <si>
    <t xml:space="preserve">Found a cowboy-hat speedrunner on YouTube in 2020, started streaming retro games; while playing Ninja Gaiden with 4 viewers, got raided by that same speedrunner.</t>
  </si>
  <si>
    <t xml:space="preserve">triumphant</t>
  </si>
  <si>
    <t xml:space="preserve">15</t>
  </si>
  <si>
    <t xml:space="preserve">Voxel diorama → CRT/VHS · LED dot-matrix · Kinetic type · Stained glass</t>
  </si>
  <si>
    <t xml:space="preserve">Chiptune pop-punk, 140 BPM</t>
  </si>
  <si>
    <t xml:space="preserve">55 s</t>
  </si>
  <si>
    <t xml:space="preserve">Anonymised; never name the speedrunner; ask the author</t>
  </si>
  <si>
    <t xml:space="preserve">Storyline + Suno prompt in tab Story &amp; Song</t>
  </si>
  <si>
    <t xml:space="preserve">ST-03</t>
  </si>
  <si>
    <t xml:space="preserve">Engraving → Blueprint · Thermal · Terminal/ASCII</t>
  </si>
  <si>
    <t xml:space="preserve">50–60 s</t>
  </si>
  <si>
    <t xml:space="preserve">Pick from the Story Fisher shortlist</t>
  </si>
  <si>
    <t xml:space="preserve">ST-04</t>
  </si>
  <si>
    <t xml:space="preserve">Pixel art → CRT/VHS · Oscilloscope · Halftone</t>
  </si>
  <si>
    <t xml:space="preserve">ST-05</t>
  </si>
  <si>
    <t xml:space="preserve">Papercut → Stained glass · Neon line · Constellations</t>
  </si>
  <si>
    <t xml:space="preserve">ST-06</t>
  </si>
  <si>
    <t xml:space="preserve">Voxel diorama → Pixel art · Glitch · Kinetic type</t>
  </si>
  <si>
    <t xml:space="preserve">ST-07</t>
  </si>
  <si>
    <t xml:space="preserve">Neon line → LED dot-matrix · Halftone · Particles</t>
  </si>
  <si>
    <t xml:space="preserve">ST-08</t>
  </si>
  <si>
    <t xml:space="preserve">Halftone → Papercut · Blueprint · CRT/VHS</t>
  </si>
  <si>
    <t xml:space="preserve">Section 2 · Brand · Generic (pain → need → function)</t>
  </si>
  <si>
    <t xml:space="preserve">One use case per film. Every film has an A version (majestic, technical, score + statements) and a B version (music video with a song). Functions marked (confirm) are assumptions until the product list arrives.</t>
  </si>
  <si>
    <t xml:space="preserve">Version</t>
  </si>
  <si>
    <t xml:space="preserve">Use case</t>
  </si>
  <si>
    <t xml:space="preserve">Pain #</t>
  </si>
  <si>
    <t xml:space="preserve">The pain (their words)</t>
  </si>
  <si>
    <t xml:space="preserve">The need</t>
  </si>
  <si>
    <t xml:space="preserve">Function shown</t>
  </si>
  <si>
    <t xml:space="preserve">Product layer</t>
  </si>
  <si>
    <t xml:space="preserve">Direction / look</t>
  </si>
  <si>
    <t xml:space="preserve">One message</t>
  </si>
  <si>
    <t xml:space="preserve">Proof needed</t>
  </si>
  <si>
    <t xml:space="preserve">GN-U1A</t>
  </si>
  <si>
    <t xml:space="preserve">A</t>
  </si>
  <si>
    <t xml:space="preserve">“Hi?” → “Welcome back, Sam!”</t>
  </si>
  <si>
    <t xml:space="preserve">3</t>
  </si>
  <si>
    <t xml:space="preserve">“Someone said hi and I didn’t see it.”</t>
  </si>
  <si>
    <t xml:space="preserve">Never miss a newcomer</t>
  </si>
  <si>
    <t xml:space="preserve">Greets first-time chatters, flags them to the streamer (confirm)</t>
  </si>
  <si>
    <t xml:space="preserve">Live (free)</t>
  </si>
  <si>
    <t xml:space="preserve">A · Majestic technical: instrumental score, slow precise camera, exploded system view, one light (the companion). Deck: raymarched + blueprint → constellations · data/UI · engraving</t>
  </si>
  <si>
    <t xml:space="preserve">Returning-newcomer count</t>
  </si>
  <si>
    <t xml:space="preserve">9:16 first, 16:9</t>
  </si>
  <si>
    <t xml:space="preserve">GN-U1B</t>
  </si>
  <si>
    <t xml:space="preserve">B</t>
  </si>
  <si>
    <t xml:space="preserve">B · Music video: song written from the script, pixel/voxel streamer room, kinetic word-synced lyrics. Deck: pixel or voxel → CRT · halftone · kinetic type · neon line</t>
  </si>
  <si>
    <t xml:space="preserve">GN-U2A</t>
  </si>
  <si>
    <t xml:space="preserve">The 40th “what rank are you?”</t>
  </si>
  <si>
    <t xml:space="preserve">Grinder</t>
  </si>
  <si>
    <t xml:space="preserve">4</t>
  </si>
  <si>
    <t xml:space="preserve">“Chat asks the same question 40 times.”</t>
  </si>
  <si>
    <t xml:space="preserve">Answers without stopping play</t>
  </si>
  <si>
    <t xml:space="preserve">Answers FAQs in the streamer’s tone (confirm)</t>
  </si>
  <si>
    <t xml:space="preserve">Questions answered by the bot</t>
  </si>
  <si>
    <t xml:space="preserve">GN-U2B</t>
  </si>
  <si>
    <t xml:space="preserve">GN-U3A</t>
  </si>
  <si>
    <t xml:space="preserve">Raid at 2 AM</t>
  </si>
  <si>
    <t xml:space="preserve">Grinder, Juggler</t>
  </si>
  <si>
    <t xml:space="preserve">6</t>
  </si>
  <si>
    <t xml:space="preserve">“Spam and hate raids hit when I’m alone.”</t>
  </si>
  <si>
    <t xml:space="preserve">Protection when no mod is online</t>
  </si>
  <si>
    <t xml:space="preserve">Filters spam, calm raid handling, logs for mods (confirm)</t>
  </si>
  <si>
    <t xml:space="preserve">Messages blocked, time to calm</t>
  </si>
  <si>
    <t xml:space="preserve">GN-U3B</t>
  </si>
  <si>
    <t xml:space="preserve">GN-U4A</t>
  </si>
  <si>
    <t xml:space="preserve">The 1:12 mystery</t>
  </si>
  <si>
    <t xml:space="preserve">9</t>
  </si>
  <si>
    <t xml:space="preserve">“Why did everyone leave at 1:12?”</t>
  </si>
  <si>
    <t xml:space="preserve">See the cause</t>
  </si>
  <si>
    <t xml:space="preserve">Retention report aligned with chat and stream (confirm)</t>
  </si>
  <si>
    <t xml:space="preserve">Insights (sub)</t>
  </si>
  <si>
    <t xml:space="preserve">The aligned graph</t>
  </si>
  <si>
    <t xml:space="preserve">GN-U4B</t>
  </si>
  <si>
    <t xml:space="preserve">GN-U5A</t>
  </si>
  <si>
    <t xml:space="preserve">4 hours → 4 clips</t>
  </si>
  <si>
    <t xml:space="preserve">Part-timer</t>
  </si>
  <si>
    <t xml:space="preserve">10</t>
  </si>
  <si>
    <t xml:space="preserve">“I’d have to rewatch 4 hours of VOD.”</t>
  </si>
  <si>
    <t xml:space="preserve">Best moments found for me</t>
  </si>
  <si>
    <t xml:space="preserve">Highlights from chat spikes (confirm)</t>
  </si>
  <si>
    <t xml:space="preserve">Minutes saved</t>
  </si>
  <si>
    <t xml:space="preserve">GN-U5B</t>
  </si>
  <si>
    <t xml:space="preserve">GN-U6A</t>
  </si>
  <si>
    <t xml:space="preserve">“What should I change?”</t>
  </si>
  <si>
    <t xml:space="preserve">Grinder, Pro</t>
  </si>
  <si>
    <t xml:space="preserve">12</t>
  </si>
  <si>
    <t xml:space="preserve">“Analytics pages are just numbers.”</t>
  </si>
  <si>
    <t xml:space="preserve">Answers, not charts</t>
  </si>
  <si>
    <t xml:space="preserve">Ask the analyst bot</t>
  </si>
  <si>
    <t xml:space="preserve">Next week vs this week</t>
  </si>
  <si>
    <t xml:space="preserve">GN-U6B</t>
  </si>
  <si>
    <t xml:space="preserve">GN-U7A</t>
  </si>
  <si>
    <t xml:space="preserve">The running joke</t>
  </si>
  <si>
    <t xml:space="preserve">All</t>
  </si>
  <si>
    <t xml:space="preserve">14</t>
  </si>
  <si>
    <t xml:space="preserve">“Every stream starts from zero.”</t>
  </si>
  <si>
    <t xml:space="preserve">Something that remembers</t>
  </si>
  <si>
    <t xml:space="preserve">Companion remembers regulars, jokes, milestones</t>
  </si>
  <si>
    <t xml:space="preserve">Companion (merged)</t>
  </si>
  <si>
    <t xml:space="preserve">Chat reaction</t>
  </si>
  <si>
    <t xml:space="preserve">GN-U7B</t>
  </si>
  <si>
    <t xml:space="preserve">GN-U8A</t>
  </si>
  <si>
    <t xml:space="preserve">Friday sponsor report</t>
  </si>
  <si>
    <t xml:space="preserve">Pro, Juggler</t>
  </si>
  <si>
    <t xml:space="preserve">13</t>
  </si>
  <si>
    <t xml:space="preserve">“A sponsor wants a report by Friday.”</t>
  </si>
  <si>
    <t xml:space="preserve">A report I can send</t>
  </si>
  <si>
    <t xml:space="preserve">Shareable report (confirm)</t>
  </si>
  <si>
    <t xml:space="preserve">Time from request to sent</t>
  </si>
  <si>
    <t xml:space="preserve">GN-U8B</t>
  </si>
  <si>
    <t xml:space="preserve">Section 3 · Brand · Master (one film, two versions)</t>
  </si>
  <si>
    <t xml:space="preserve">The whole ecosystem in one film: the companion is born (Live), remembers (Insights), grows (Companion). Built last, from the assets of sections 1 and 2. Waits for the final design and the product-structure decision.</t>
  </si>
  <si>
    <t xml:space="preserve">Sound</t>
  </si>
  <si>
    <t xml:space="preserve">Quality level</t>
  </si>
  <si>
    <t xml:space="preserve">MA-A</t>
  </si>
  <si>
    <t xml:space="preserve">Majestic technical: a new era, a second brain for every creator; scale from one desk to a planet of lit windows</t>
  </si>
  <si>
    <t xml:space="preserve">Instrumental score + statements / voice-over</t>
  </si>
  <si>
    <t xml:space="preserve">60–90 s</t>
  </si>
  <si>
    <t xml:space="preserve">16:9 hero + 9:16 cut</t>
  </si>
  <si>
    <t xml:space="preserve">Level 7–8 (depth)</t>
  </si>
  <si>
    <t xml:space="preserve">Five movements below</t>
  </si>
  <si>
    <t xml:space="preserve">MA-B</t>
  </si>
  <si>
    <t xml:space="preserve">Music video: one streamer, one companion, months of streams; the song carries the story</t>
  </si>
  <si>
    <t xml:space="preserve">Song (lyrics from the script)</t>
  </si>
  <si>
    <t xml:space="preserve">Level 6–8 (mixed)</t>
  </si>
  <si>
    <t xml:space="preserve">Same beats, different sound and pace</t>
  </si>
  <si>
    <t xml:space="preserve">Movement breakdown (draft for discussion)</t>
  </si>
  <si>
    <t xml:space="preserve">#</t>
  </si>
  <si>
    <t xml:space="preserve">Movement</t>
  </si>
  <si>
    <t xml:space="preserve">Picture</t>
  </si>
  <si>
    <t xml:space="preserve">A · statement (draft)</t>
  </si>
  <si>
    <t xml:space="preserve">B · lyric idea</t>
  </si>
  <si>
    <t xml:space="preserve">Pain / layer shown</t>
  </si>
  <si>
    <t xml:space="preserve">Key assets</t>
  </si>
  <si>
    <t xml:space="preserve">Status</t>
  </si>
  <si>
    <t xml:space="preserve">Alone</t>
  </si>
  <si>
    <t xml:space="preserve">One streamer, one screen in the dark; pull back through the window to a city, then a planet of lit windows</t>
  </si>
  <si>
    <t xml:space="preserve">“Every night, millions create alone.”</t>
  </si>
  <si>
    <t xml:space="preserve">The empty chat, the quiet room</t>
  </si>
  <si>
    <t xml:space="preserve">Pains 1, 8</t>
  </si>
  <si>
    <t xml:space="preserve">Streamer room, planet of windows</t>
  </si>
  <si>
    <t xml:space="preserve">The spark</t>
  </si>
  <si>
    <t xml:space="preserve">One window turns warm: the companion is born, free and open</t>
  </si>
  <si>
    <t xml:space="preserve">“Until now.”</t>
  </si>
  <si>
    <t xml:space="preserve">Hook: the first hello</t>
  </si>
  <si>
    <t xml:space="preserve">Companion stage 1</t>
  </si>
  <si>
    <t xml:space="preserve">The architecture</t>
  </si>
  <si>
    <t xml:space="preserve">Flythrough of the system: live chat → stream data → reports → memory</t>
  </si>
  <si>
    <t xml:space="preserve">“It listens. It learns. It remembers.”</t>
  </si>
  <si>
    <t xml:space="preserve">Verse: what it does for you</t>
  </si>
  <si>
    <t xml:space="preserve">Insights</t>
  </si>
  <si>
    <t xml:space="preserve">Exploded system view, UI stand-ins</t>
  </si>
  <si>
    <t xml:space="preserve">The second brain</t>
  </si>
  <si>
    <t xml:space="preserve">The memory ring grows into a constellation around the streamer</t>
  </si>
  <si>
    <t xml:space="preserve">“Not a tool. A second brain.”</t>
  </si>
  <si>
    <t xml:space="preserve">Bridge: it remembers your people</t>
  </si>
  <si>
    <t xml:space="preserve">Companion stages 2–3, constellation</t>
  </si>
  <si>
    <t xml:space="preserve">A new era</t>
  </si>
  <si>
    <t xml:space="preserve">Window after window lights warm; the logo</t>
  </si>
  <si>
    <t xml:space="preserve">“A companion for every creator.”</t>
  </si>
  <si>
    <t xml:space="preserve">Final chorus + sonic logo</t>
  </si>
  <si>
    <t xml:space="preserve">End card, sonic logo</t>
  </si>
  <si>
    <t xml:space="preserve">Story &amp; Song · storyline, Suno prompt and lyrics per film</t>
  </si>
  <si>
    <t xml:space="preserve">Paste 'Suno · Style' into Style of Music, 'Suno · Exclude' into Exclude, 'Lyrics' into Lyrics (Custom mode, v5.5, Duration slider = Length). Every film is at least 45 s. Guide: docs/SUNO_GUIDE.md</t>
  </si>
  <si>
    <t xml:space="preserve">Title</t>
  </si>
  <si>
    <t xml:space="preserve">BPM</t>
  </si>
  <si>
    <t xml:space="preserve">Storyline (what the viewer sees)</t>
  </si>
  <si>
    <t xml:space="preserve">Suno · Style</t>
  </si>
  <si>
    <t xml:space="preserve">Suno · Exclude</t>
  </si>
  <si>
    <t xml:space="preserve">Lyrics (with Suno tags) / statements</t>
  </si>
  <si>
    <t xml:space="preserve">Song status</t>
  </si>
  <si>
    <t xml:space="preserve">The train ride</t>
  </si>
  <si>
    <t xml:space="preserve">MV</t>
  </si>
  <si>
    <t xml:space="preserve">0:00–0:03 “Based on a true story” over a slow push into the pixel city at dusk (out on the beat). A desk-bound game streamer takes the stream on a Christmas tour of their city: market lights, a castle, a lit carousel. Viewer counter climbs to 3. At the station they are about to end the stream; chat: 'wait, I've never been on a train'. Hero shot: through the window the city falls away into open farmland, fast. The signal bars drop, freeze, black. The chat fills the frame: 'thanks for being so chill. amazing stream'. Halftone burst: 3 VIEWERS. ENOUGH. Pull back over the fields and the globe to one lit window on the other side of the world; a small spark by the message (companion cameo). End card + credit: Story shared by a streamer on Reddit.</t>
  </si>
  <si>
    <t xml:space="preserve">warm lo-fi indie pop, gentle and hopeful, glockenspiel and felt piano, soft synth pads, brushed train-rhythm percussion, soft clear vocal up front, intimate dry production, 120 BPM</t>
  </si>
  <si>
    <t xml:space="preserve">heavy reverb, autotune, rap verses, spoken word intro, long instrumental intro</t>
  </si>
  <si>
    <t xml:space="preserve">[Intro: 2 bars, instrumental, glockenspiel, train rhythm]
[Verse: soft vocal]
Took the stream out for Christmas in town
Market lights, a castle, a carousel
Three people watching, that's my crowd
Talking to the street out loud
Train to catch, I'll say goodbye
"Wait, I've never been on a train"
[Pre-Chorus: almost spoken]
Keep it on till the signal goes
[Break]
[Chorus: warm, fuller]
You watched the city turn to fields
Your first train, it moved so fast
Said it was amazing, said thank you
From the other side of the world
[Outro: soft]
That's why I do this
That's why I do this
[End]</t>
  </si>
  <si>
    <t xml:space="preserve">APPROVED. v0.4: every line checked against the full post. Script: docs/scripts/ST-01_train-ride.md</t>
  </si>
  <si>
    <t xml:space="preserve">The raid from the hero</t>
  </si>
  <si>
    <t xml:space="preserve">0:00–0:03 “Based on a true story” over the voxel room in the dark (out on the beat). Then: Voxel diorama: 2020, a YouTube video on an old monitor shows a speedrunner in a cowboy hat (voxel, no face). The viewer makes a Twitch account that night and starts streaming retro games. CRT look: Ninja Gaiden-style pixel action, counter at 4 viewers. LED dot-matrix alert: RAID. It is the same speedrunner. The chat floods (kinetic type), stained-glass burst on the chorus, voxel room fills with lights. End card + credit: Story shared by a streamer on Reddit.</t>
  </si>
  <si>
    <t xml:space="preserve">chiptune pop-punk, triumphant and fast, 8-bit synth leads with live drums and driving bass, bright clear vocal, punchy modern production, 140 BPM</t>
  </si>
  <si>
    <t xml:space="preserve">[Intro: 2 bars, instrumental, 8-bit lead]
[Verse]
Twenty-twenty, found a video
Cowboy hat and a speedrun
Made an account that very night
Started streaming the old games
[Pre-Chorus: building]
Four people watching, Ninja Gaiden on
[Break]
[Chorus: full band, shout-along]
Then the raid came in, it was him
The one who started all of this
Look who's in my chat tonight
Look who's watching now
[Outro]
Look who's watching now
[End]</t>
  </si>
  <si>
    <t xml:space="preserve">Facts from the post (Story Fisher, quality 9). Never name the speedrunner. Check the full post before scripting.</t>
  </si>
  <si>
    <t xml:space="preserve">(pick from the Story Fisher shortlist)</t>
  </si>
  <si>
    <t xml:space="preserve">Opens with “Based on a true story” (1.5 bars, 2.5–3 s, over the first shot). Rest written after the story is chosen.</t>
  </si>
  <si>
    <t xml:space="preserve">[Intro: 2 bars, instrumental] …</t>
  </si>
  <si>
    <t xml:space="preserve">Written after the story is chosen</t>
  </si>
  <si>
    <t xml:space="preserve">A · majestic technical (instrumental)</t>
  </si>
  <si>
    <t xml:space="preserve">A single 'hi' as a point of light drifting into a vast dark space of chat; it fades, unseen. The companion's spark rises, catches it, and the reply lights a path. More hellos arrive; each is caught. They form a constellation of welcomed names.</t>
  </si>
  <si>
    <t xml:space="preserve">cinematic orchestral electronic, majestic and hopeful, felt piano motif, warm strings, deep sub swells, pristine production, 90 BPM</t>
  </si>
  <si>
    <t xml:space="preserve">vocals, choir words, EDM drop, dubstep, long fade-out</t>
  </si>
  <si>
    <t xml:space="preserve">Instrumental ON. Lyrics field (structure only):
[Intro: solo motif]
[Build: layers enter]
[Swell]
[Climax: full]
[Outro: motif returns]
[End]
On-screen statements (not sung):
Every hello matters.
Most go unanswered.
Not anymore.
Chobbot greets every first-time chatter. (confirm)</t>
  </si>
  <si>
    <t xml:space="preserve">Statements shown as text, timed to the swells</t>
  </si>
  <si>
    <t xml:space="preserve">B · music video (song)</t>
  </si>
  <si>
    <t xml:space="preserve">Pixel streamer mid boss fight. A new name types 'hi'; it scrolls away unseen, a timer counts 0:01…0:40, the name leaves. Rewind on the break: same moment with the companion. The spark answers 'hey Sam, first time? welcome in' and flags the streamer, who waves. A week later Sam types 'back again'; the bot: 'welcome back, Sam'.</t>
  </si>
  <si>
    <t xml:space="preserve">upbeat synth-pop, playful and bright, plucky synths and handclaps, punchy drums, clear bright vocal, clean modern production, 124 BPM</t>
  </si>
  <si>
    <t xml:space="preserve">[Intro: plucky synth]
[Verse]
Boss fight, eyes on the screen
Someone typed hi in between
Scrolled away, nobody saw
Forty seconds, then they're gone
[Pre-Chorus: half-spoken]
What if someone said hi back
[Break]
[Chorus: full]
Hey, welcome in, first time here?
Somebody answered, loud and clear
Nobody slips through the chat
A week later, Sam comes back
[Outro]
Welcome back
[End]</t>
  </si>
  <si>
    <t xml:space="preserve">Lyrics appear as on-screen text; nobody sings on screen</t>
  </si>
  <si>
    <t xml:space="preserve">Identical questions fall as glyphs and form a storm. The companion turns the storm into one ordered column of answers, and the space goes quiet and clear around a single focused point of play.</t>
  </si>
  <si>
    <t xml:space="preserve">cinematic minimal electronic, focused and precise, pulsing arpeggio, glassy pads, ticking percussion, clean build, 100 BPM</t>
  </si>
  <si>
    <t xml:space="preserve">Instrumental ON. Lyrics field (structure only):
[Intro: solo motif]
[Build: layers enter]
[Swell]
[Climax: full]
[Outro: motif returns]
[End]
On-screen statements (not sung):
The same question. Forty times.
Answered once. Remembered.
Your focus stays on the game. (confirm)</t>
  </si>
  <si>
    <t xml:space="preserve">The same question pours in as pixel cards that stack up on the desk. The streamer turns to answer and dies in game. Rewind: the companion answers each card instantly; the cards fold into one neat FAQ stack; the streamer clutches the round.</t>
  </si>
  <si>
    <t xml:space="preserve">funky electro-pop, cheeky and energetic, slap bass and chopped synth hooks, crisp drums, bright clear vocal, tight production, 118 BPM</t>
  </si>
  <si>
    <t xml:space="preserve">[Intro: slap bass]
[Verse]
What's your rank, what's your rig
What's the song, what's your sens
Fortieth time tonight
Turn to answer, lose the fight
[Pre-Chorus]
Same question, again, again
[Break]
[Chorus: full]
Let the bot take that one
Answer once and it's done
Eyes on the game, clutch the round
Chat still heard, every sound
[Outro]
Clutch the round
[End]</t>
  </si>
  <si>
    <t xml:space="preserve">A storm of red particles crashes against a small sphere of light around a lone desk at night. The companion's shield lights up cell by cell; the storm breaks around it and passes. Dawn rises over a calm city.</t>
  </si>
  <si>
    <t xml:space="preserve">dark cinematic hybrid orchestral, tense then triumphant, low brass and taiko pulses, rising strings, resolves to bright major, 95 BPM</t>
  </si>
  <si>
    <t xml:space="preserve">Instrumental ON. Lyrics field (structure only):
[Intro: solo motif]
[Build: layers enter]
[Swell]
[Climax: full]
[Outro: motif returns]
[End]
On-screen statements (not sung):
Raids come at 2 AM.
No mod online.
Protection that stays on. (confirm)</t>
  </si>
  <si>
    <t xml:space="preserve">Night stream, mods asleep. Red spam floods the chat; on every snare it cracks the monitor glass (glitch). The streamer freezes. Break. The companion's shield: the noise is filtered in a second and dissolves; calm returns; in the morning a clean log waits for the mods.</t>
  </si>
  <si>
    <t xml:space="preserve">dark synthwave turning bright, tense then relieved, distorted bass and gated snare, opening into warm major chords, clear vocal, 128 BPM</t>
  </si>
  <si>
    <t xml:space="preserve">[Intro: low pulse]
[Verse: tense]
Two a.m., the mods asleep
Chat goes red, a hundred deep
Same words, a hundred names
Hands off the keys, I freeze
[Pre-Chorus: whispered]
Who's on watch at two a.m.
[Break]
[Chorus: bright, major]
Filtered in a second flat
Calm comes back into the chat
Logged it all for the morning crew
Stream goes on, we got you
[Outro]
Stream goes on
[End]</t>
  </si>
  <si>
    <t xml:space="preserve">The viewer curve as a vast terrain seen from above at night. The camera glides to a canyon at 1:12. A scanning light from the report sweeps the canyon and reveals what lies beneath: the moment that caused it.</t>
  </si>
  <si>
    <t xml:space="preserve">cinematic ambient electronic, investigative then awe, deep pads and pulsing low synth, piano motif, rising build, 85 BPM</t>
  </si>
  <si>
    <t xml:space="preserve">Instrumental ON. Lyrics field (structure only):
[Intro: solo motif]
[Build: layers enter]
[Swell]
[Climax: full]
[Outro: motif returns]
[End]
On-screen statements (not sung):
Numbers say what. Not why.
Insights shows why. (confirm)
Every drop, explained.</t>
  </si>
  <si>
    <t xml:space="preserve">The viewer graph is a pixel mountain range; at 1:12 a cliff. The streamer stares, no idea why. The report overlays stream and chat on the graph: a nine-minute loading screen and a silent chat line up exactly with the drop. Next stream, the line holds.</t>
  </si>
  <si>
    <t xml:space="preserve">chill electronic pop, curious then confident, ticking hi-hats and warm bass, soft synth chords, clean bright vocal, 115 BPM</t>
  </si>
  <si>
    <t xml:space="preserve">[Intro: ticking hats]
[Verse]
One hour twelve, the line goes down
Half the room just left the town
Was it me, the game, the time
Scrolling numbers, no reply
[Pre-Chorus]
What happened at one twelve
[Break]
[Chorus: full]
Nine minutes of a loading screen
Chat went quiet in between
Now I see it, now I know
Next stream, the line holds
[Outro]
Now I know
[End]</t>
  </si>
  <si>
    <t xml:space="preserve">A river of footage flows through the dark. Four bright points rise out of it, slowly, and hang in the air as a small constellation: the four moments that matter.</t>
  </si>
  <si>
    <t xml:space="preserve">cinematic neo-classical electronic, calm and grand, felt piano and cello, shimmering arpeggios, slow swell, 80 BPM</t>
  </si>
  <si>
    <t xml:space="preserve">Instrumental ON. Lyrics field (structure only):
[Intro: solo motif]
[Build: layers enter]
[Swell]
[Climax: full]
[Outro: motif returns]
[End]
On-screen statements (not sung):
Four hours of stream.
Four moments that matter.
Found while you rest. (confirm)</t>
  </si>
  <si>
    <t xml:space="preserve">Midnight. The VOD timeline stretches like an endless road; the streamer scrubs, half asleep. The companion lifts four glowing moments out of the chat spikes; the clips are ready when the stream ends. Laptop closes. Sleep.</t>
  </si>
  <si>
    <t xml:space="preserve">dreamy bedroom pop, tired then relieved, lo-fi drums and warm Rhodes, soft clear vocal, gentle lift in the chorus, 110 BPM</t>
  </si>
  <si>
    <t xml:space="preserve">[Intro: warm Rhodes]
[Verse: sleepy]
Stream is over, midnight now
Four hours of footage, scrub it down
Where was the moment, where was the laugh
Rewind, rewind, half asleep
[Pre-Chorus]
There's got to be a faster way
[Break]
[Chorus: lift]
Chat spiked here, and here, and here
Four best moments, already clear
Clips are ready, go to sleep
The best of tonight is yours to keep
[Outro]
Go to sleep
[End]</t>
  </si>
  <si>
    <t xml:space="preserve">An ocean of data points. A single question rises from the streamer as a beam of light; the data reorganises around it into three clear paths.</t>
  </si>
  <si>
    <t xml:space="preserve">cinematic electronic, majestic and clear, evolving pads and piano, tight pulse, big resolving chord, 92 BPM</t>
  </si>
  <si>
    <t xml:space="preserve">Instrumental ON. Lyrics field (structure only):
[Intro: solo motif]
[Build: layers enter]
[Swell]
[Climax: full]
[Outro: motif returns]
[End]
On-screen statements (not sung):
You have the data.
Now ask it anything.
Answers, not charts.</t>
  </si>
  <si>
    <t xml:space="preserve">The streamer faces a wall of charts (data UI style); the numbers blur. They type a question to the analyst bot. Three plain answers appear as cards. Next week the graph climbs.</t>
  </si>
  <si>
    <t xml:space="preserve">upbeat indie electronic, curious then confident, bright synth plucks and tight drums, warm bass, clear vocal, 122 BPM</t>
  </si>
  <si>
    <t xml:space="preserve">[Intro: synth plucks]
[Verse]
Charts on charts, lines on lines
Followers, minutes, peaks and times
All these numbers, what do they mean
Staring at a glowing screen
[Pre-Chorus: spoken]
So what should I change?
[Break]
[Chorus: full]
Three things, plain and clear
Start at eight, your people are here
Shorter breaks, say hi by name
Next week, it's not the same
[Outro]
Ask me anything
[End]</t>
  </si>
  <si>
    <t xml:space="preserve">Months pass as seasons over a single lit window. Each stream leaves a point of light around the streamer; slowly they join into a constellation: the second brain.</t>
  </si>
  <si>
    <t xml:space="preserve">cinematic orchestral, emotional and majestic, piano motif and warm strings, choir pad, slow build to a glowing finale, 84 BPM</t>
  </si>
  <si>
    <t xml:space="preserve">Instrumental ON. Lyrics field (structure only):
[Intro: solo motif]
[Build: layers enter]
[Swell]
[Climax: full]
[Outro: motif returns]
[End]
On-screen statements (not sung):
Every stream starts from zero.
Unless something remembers.
A companion that grows with you.</t>
  </si>
  <si>
    <t xml:space="preserve">Anniversary stream. A regular types an inside joke from a year ago; the streamer has forgotten it. The companion recalls the moment and plays it back as a memory card; chat erupts. The memory ring around the companion glows with a year of moments.</t>
  </si>
  <si>
    <t xml:space="preserve">nostalgic indie pop, warm and joyful, jangly guitars and glockenspiel, handclaps, clear warm vocal, gang vocals in the chorus, 116 BPM</t>
  </si>
  <si>
    <t xml:space="preserve">[Intro: jangly guitar]
[Verse]
A year ago a joke was born
Chat still knows it, every one
I forgot, the nights move on
Every stream from zero again
[Pre-Chorus]
Who remembers when
[Break]
[Chorus: gang vocals]
It remembers every name
Every joke and every game
One year later, it's still here
Brings it back, the whole chat cheers
[Outro]
It remembers
[End]</t>
  </si>
  <si>
    <t xml:space="preserve">Scattered numbers swirl and condense into one elegant document of light, which folds into a paper plane and flies toward a bright horizon.</t>
  </si>
  <si>
    <t xml:space="preserve">cinematic modern orchestral, confident and elegant, staccato strings and piano, clean pulse, bright resolving finale, 96 BPM</t>
  </si>
  <si>
    <t xml:space="preserve">Instrumental ON. Lyrics field (structure only):
[Intro: solo motif]
[Build: layers enter]
[Swell]
[Climax: full]
[Outro: motif returns]
[End]
On-screen statements (not sung):
Sponsors want proof.
One report. Every number. (confirm)
Sent before the weekend.</t>
  </si>
  <si>
    <t xml:space="preserve">Friday: an email, 'report by Friday?'. The streamer is buried in a voxel tower of spreadsheets. The companion builds one clean report card; send. Weekend lights come on.</t>
  </si>
  <si>
    <t xml:space="preserve">funky disco-pop, stressed then celebratory, four-on-the-floor and funky guitar, brass stabs, clear vocal, 120 BPM</t>
  </si>
  <si>
    <t xml:space="preserve">[Intro: funky guitar]
[Verse]
Email says by Friday, please
Numbers from the last three weeks
Spreadsheet cells, copy, paste
Weekend going down the drain
[Pre-Chorus]
There goes Saturday
[Break]
[Chorus: full, brass]
One report, ready to send
Every number, start to end
Hit send, it's Friday night
Weekend's back, it's all right
[Outro]
Hit send
[End]</t>
  </si>
  <si>
    <t xml:space="preserve">Master · A new era</t>
  </si>
  <si>
    <t xml:space="preserve">75–90 s</t>
  </si>
  <si>
    <t xml:space="preserve">1 Alone: one streamer, one screen in the dark; pull back through the window to a city, then a planet of lit windows. 2 The spark: one window turns warm; the companion is born. 3 The architecture: flythrough of the system, live chat → stream data → reports → memory. 4 The second brain: the memory ring grows into a constellation around the streamer. 5 A new era: window after window lights warm; the logo.</t>
  </si>
  <si>
    <t xml:space="preserve">cinematic hybrid orchestral electronic, majestic and awe-inspiring, solo felt piano motif, expanding strings, deep sub and choir pad, builds to a vast final hit, pristine production, 90 BPM</t>
  </si>
  <si>
    <t xml:space="preserve">Instrumental ON. Lyrics field (structure only):
[Intro: solo felt piano]
[Build: strings enter, low pulse]
[Movement: arpeggios, rising]
[Swell: choir pad]
[Climax: full orchestra and synths]
[Outro: piano motif returns]
[End]
On-screen statements (not sung):
Every night, millions create alone.
Until now.
It listens. It learns. It remembers.
Not a tool. A second brain.
A companion for every creator.</t>
  </si>
  <si>
    <t xml:space="preserve">Five movements, statements timed to the swells</t>
  </si>
  <si>
    <t xml:space="preserve">Master · Never live alone</t>
  </si>
  <si>
    <t xml:space="preserve">Same five movements as A, told through one streamer over months: empty room → the first hello from the companion → after-stream reports → the memory ring growing with names and jokes → the city of warm windows. Mixed style deck, voxel/pixel streamer, kinetic lyrics.</t>
  </si>
  <si>
    <t xml:space="preserve">anthemic indie pop with cinematic strings, hopeful and uplifting, piano and pulsing synth bass, big drums in the chorus, clear emotive vocal, gang vocals in the final chorus, 118 BPM</t>
  </si>
  <si>
    <t xml:space="preserve">[Intro: piano]
[Verse 1]
Every night, another window glows
Someone streaming to an empty room
Says hello to no one there
Talks until the chat comes through
[Pre-Chorus]
Then a little light said hi
[Break]
[Chorus]
Never live alone
Somebody's there when you go on
Remembers every name
Grows with you, stream by stream
[Verse 2]
After the stream it counts the night
Finds the moments, shows you why
Months go by, the ring grows wide
Every story kept inside
[Final Chorus: gang vocals]
Never live alone
Somebody's there when you go on
Remembers every name
Grows with you, stream by stream
[Outro]
Never live alone
[End]</t>
  </si>
  <si>
    <t xml:space="preserve">'Never live alone' is a placeholder tagline until you decide</t>
  </si>
  <si>
    <t xml:space="preserve">Shared assets</t>
  </si>
  <si>
    <t xml:space="preserve">Built once, used by every section. Everything is code-rendered unless the source says otherwise.</t>
  </si>
  <si>
    <t xml:space="preserve">Asset</t>
  </si>
  <si>
    <t xml:space="preserve">Type</t>
  </si>
  <si>
    <t xml:space="preserve">Used by</t>
  </si>
  <si>
    <t xml:space="preserve">Source</t>
  </si>
  <si>
    <t xml:space="preserve">Depends on</t>
  </si>
  <si>
    <t xml:space="preserve">Due</t>
  </si>
  <si>
    <t xml:space="preserve">Brand palette tokens</t>
  </si>
  <si>
    <t xml:space="preserve">Brand</t>
  </si>
  <si>
    <t xml:space="preserve">Your web design → one palette file</t>
  </si>
  <si>
    <t xml:space="preserve">Web design</t>
  </si>
  <si>
    <t xml:space="preserve">Placeholder until the design lands</t>
  </si>
  <si>
    <t xml:space="preserve">Fonts (display + mono)</t>
  </si>
  <si>
    <t xml:space="preserve">Your web design</t>
  </si>
  <si>
    <t xml:space="preserve">Logo (SVG) + wordmark</t>
  </si>
  <si>
    <t xml:space="preserve">You</t>
  </si>
  <si>
    <t xml:space="preserve">End card</t>
  </si>
  <si>
    <t xml:space="preserve">Code</t>
  </si>
  <si>
    <t xml:space="preserve">Logo, palette</t>
  </si>
  <si>
    <t xml:space="preserve">Same in every video</t>
  </si>
  <si>
    <t xml:space="preserve">Sonic logo (2 s)</t>
  </si>
  <si>
    <t xml:space="preserve">Music partner / Suno</t>
  </si>
  <si>
    <t xml:space="preserve">Ends every video</t>
  </si>
  <si>
    <t xml:space="preserve">Companion · stage 1 (spark)</t>
  </si>
  <si>
    <t xml:space="preserve">Character</t>
  </si>
  <si>
    <t xml:space="preserve">Palette</t>
  </si>
  <si>
    <t xml:space="preserve">Live app</t>
  </si>
  <si>
    <t xml:space="preserve">Companion · stage 2 (memory ring)</t>
  </si>
  <si>
    <t xml:space="preserve">Generic, Master</t>
  </si>
  <si>
    <t xml:space="preserve">Stage 1</t>
  </si>
  <si>
    <t xml:space="preserve">Companion · stage 3 (full form)</t>
  </si>
  <si>
    <t xml:space="preserve">Stage 2</t>
  </si>
  <si>
    <t xml:space="preserve">Merged companion; mascot art if you have one</t>
  </si>
  <si>
    <t xml:space="preserve">Streamer (silhouette, hoodie, headset)</t>
  </si>
  <si>
    <t xml:space="preserve">No face, so anyone sees themselves</t>
  </si>
  <si>
    <t xml:space="preserve">Streamer as pixel / voxel sprite</t>
  </si>
  <si>
    <t xml:space="preserve">Stories, Generic B</t>
  </si>
  <si>
    <t xml:space="preserve">Code (32×32 or 64×64 sprite)</t>
  </si>
  <si>
    <t xml:space="preserve">No anime or cartoon humans (docs/STYLE_DECK.md)</t>
  </si>
  <si>
    <t xml:space="preserve">Style deck shaders (A-tier styles)</t>
  </si>
  <si>
    <t xml:space="preserve">Look</t>
  </si>
  <si>
    <t xml:space="preserve">Code, one file per style</t>
  </si>
  <si>
    <t xml:space="preserve">Built once, reused by every film; see the Style Library tab</t>
  </si>
  <si>
    <t xml:space="preserve">Set · streamer’s room</t>
  </si>
  <si>
    <t xml:space="preserve">Set</t>
  </si>
  <si>
    <t xml:space="preserve">Generic B, Master</t>
  </si>
  <si>
    <t xml:space="preserve">Monitor light, window god rays</t>
  </si>
  <si>
    <t xml:space="preserve">Set · planet / city of windows</t>
  </si>
  <si>
    <t xml:space="preserve">Generic A, Master A</t>
  </si>
  <si>
    <t xml:space="preserve">Hero shot</t>
  </si>
  <si>
    <t xml:space="preserve">Exploded system view</t>
  </si>
  <si>
    <t xml:space="preserve">Product structure</t>
  </si>
  <si>
    <t xml:space="preserve">Live → data → Insights → memory</t>
  </si>
  <si>
    <t xml:space="preserve">Chat UI (generic, ours)</t>
  </si>
  <si>
    <t xml:space="preserve">UI</t>
  </si>
  <si>
    <t xml:space="preserve">Never a real platform’s UI</t>
  </si>
  <si>
    <t xml:space="preserve">Product UI screens</t>
  </si>
  <si>
    <t xml:space="preserve">Your web design (stand-ins until then)</t>
  </si>
  <si>
    <t xml:space="preserve">Story Fisher (n8n)</t>
  </si>
  <si>
    <t xml:space="preserve">Pipeline</t>
  </si>
  <si>
    <t xml:space="preserve">Stories</t>
  </si>
  <si>
    <t xml:space="preserve">n8n workflow JuU4QgIrT1o10zO1</t>
  </si>
  <si>
    <t xml:space="preserve">Brave + PullPush + DeepSeek</t>
  </si>
  <si>
    <t xml:space="preserve">Built; queries being tuned</t>
  </si>
  <si>
    <t xml:space="preserve">Songs (one per film)</t>
  </si>
  <si>
    <t xml:space="preserve">Stories, Generic B, Master B</t>
  </si>
  <si>
    <t xml:space="preserve">You (Suno / partner)</t>
  </si>
  <si>
    <t xml:space="preserve">Approved script</t>
  </si>
  <si>
    <t xml:space="preserve">Written to the approved script</t>
  </si>
  <si>
    <t xml:space="preserve">Scores (A versions)</t>
  </si>
  <si>
    <t xml:space="preserve">Instrumental</t>
  </si>
  <si>
    <t xml:space="preserve">Voice-over (optional)</t>
  </si>
  <si>
    <t xml:space="preserve">TBD</t>
  </si>
  <si>
    <t xml:space="preserve">Disclose if AI voice</t>
  </si>
  <si>
    <t xml:space="preserve">Proof: beta user numbers + quotes</t>
  </si>
  <si>
    <t xml:space="preserve">Proof</t>
  </si>
  <si>
    <t xml:space="preserve">Generic</t>
  </si>
  <si>
    <t xml:space="preserve">Beta users</t>
  </si>
  <si>
    <t xml:space="preserve">No invented numbers</t>
  </si>
  <si>
    <t xml:space="preserve">Style library · what we render well</t>
  </si>
  <si>
    <t xml:space="preserve">Every film mixes styles: one home style + 3–5 switch styles from tier A, switching on the music. No anime/cartoon humans. Rules: docs/STYLE_DECK.md</t>
  </si>
  <si>
    <t xml:space="preserve">Style</t>
  </si>
  <si>
    <t xml:space="preserve">Tier</t>
  </si>
  <si>
    <t xml:space="preserve">Best for</t>
  </si>
  <si>
    <t xml:space="preserve">Characters in it</t>
  </si>
  <si>
    <t xml:space="preserve">Hold length</t>
  </si>
  <si>
    <t xml:space="preserve">Built?</t>
  </si>
  <si>
    <t xml:space="preserve">Pixel art</t>
  </si>
  <si>
    <t xml:space="preserve">A · use freely</t>
  </si>
  <si>
    <t xml:space="preserve">Home style for stories; the streamer and chat</t>
  </si>
  <si>
    <t xml:space="preserve">Pixel sprites, mascot</t>
  </si>
  <si>
    <t xml:space="preserve">Any</t>
  </si>
  <si>
    <t xml:space="preserve">Proven on the Venmar × Quest film</t>
  </si>
  <si>
    <t xml:space="preserve">Voxel diorama</t>
  </si>
  <si>
    <t xml:space="preserve">Home style; rooms and cities as toys</t>
  </si>
  <si>
    <t xml:space="preserve">Voxel sprites, mascot</t>
  </si>
  <si>
    <t xml:space="preserve">Proven: voxel rig + move library exist</t>
  </si>
  <si>
    <t xml:space="preserve">CRT / VHS / glitch</t>
  </si>
  <si>
    <t xml:space="preserve">Pain moments, flashbacks, the 'cold' look</t>
  </si>
  <si>
    <t xml:space="preserve">Any (it filters the frame)</t>
  </si>
  <si>
    <t xml:space="preserve">1–4 bars</t>
  </si>
  <si>
    <t xml:space="preserve">LED dot-matrix</t>
  </si>
  <si>
    <t xml:space="preserve">Hooks, numbers, chat messages</t>
  </si>
  <si>
    <t xml:space="preserve">Mascot, text</t>
  </si>
  <si>
    <t xml:space="preserve">Beats–2 bars</t>
  </si>
  <si>
    <t xml:space="preserve">Terminal / ASCII</t>
  </si>
  <si>
    <t xml:space="preserve">The bot's point of view, data</t>
  </si>
  <si>
    <t xml:space="preserve">Text, mascot</t>
  </si>
  <si>
    <t xml:space="preserve">1–2 bars</t>
  </si>
  <si>
    <t xml:space="preserve">Blueprint / technical drawing</t>
  </si>
  <si>
    <t xml:space="preserve">How it works; Generic A, Master A</t>
  </si>
  <si>
    <t xml:space="preserve">Silhouettes, mascot</t>
  </si>
  <si>
    <t xml:space="preserve">2–8 bars</t>
  </si>
  <si>
    <t xml:space="preserve">Engraving / line hatching</t>
  </si>
  <si>
    <t xml:space="preserve">Sad or serious stories; majestic A versions</t>
  </si>
  <si>
    <t xml:space="preserve">Silhouettes</t>
  </si>
  <si>
    <t xml:space="preserve">pdoom's strongest look</t>
  </si>
  <si>
    <t xml:space="preserve">Oscilloscope / vector glow</t>
  </si>
  <si>
    <t xml:space="preserve">Music-reactive moments, the voice</t>
  </si>
  <si>
    <t xml:space="preserve">Lines, mascot</t>
  </si>
  <si>
    <t xml:space="preserve">Newspaper halftone</t>
  </si>
  <si>
    <t xml:space="preserve">Headlines, big moments ('RAIDED!')</t>
  </si>
  <si>
    <t xml:space="preserve">Silhouettes, text</t>
  </si>
  <si>
    <t xml:space="preserve">Papercut (flat layers)</t>
  </si>
  <si>
    <t xml:space="preserve">Wholesome stories, warm scenes</t>
  </si>
  <si>
    <t xml:space="preserve">Simple shapes, mascot</t>
  </si>
  <si>
    <t xml:space="preserve">2–4 bars</t>
  </si>
  <si>
    <t xml:space="preserve">Stained glass</t>
  </si>
  <si>
    <t xml:space="preserve">Triumphant moments</t>
  </si>
  <si>
    <t xml:space="preserve">Neon line</t>
  </si>
  <si>
    <t xml:space="preserve">Night streams, energy</t>
  </si>
  <si>
    <t xml:space="preserve">Thermal camera</t>
  </si>
  <si>
    <t xml:space="preserve">Tension, the 'who is watching' feeling</t>
  </si>
  <si>
    <t xml:space="preserve">1 bar</t>
  </si>
  <si>
    <t xml:space="preserve">Data / UI / charts</t>
  </si>
  <si>
    <t xml:space="preserve">Insights, reports, Generic films</t>
  </si>
  <si>
    <t xml:space="preserve">None</t>
  </si>
  <si>
    <t xml:space="preserve">Real UI once the design lands</t>
  </si>
  <si>
    <t xml:space="preserve">Kinetic typography</t>
  </si>
  <si>
    <t xml:space="preserve">Lyrics, statements, hooks</t>
  </si>
  <si>
    <t xml:space="preserve">Text</t>
  </si>
  <si>
    <t xml:space="preserve">Always on top of the other styles</t>
  </si>
  <si>
    <t xml:space="preserve">Particles / constellations</t>
  </si>
  <si>
    <t xml:space="preserve">Memory, the second brain, the drop</t>
  </si>
  <si>
    <t xml:space="preserve">Mascot</t>
  </si>
  <si>
    <t xml:space="preserve">Abstract raymarched objects</t>
  </si>
  <si>
    <t xml:space="preserve">Majestic A versions, hero shots</t>
  </si>
  <si>
    <t xml:space="preserve">None (objects only)</t>
  </si>
  <si>
    <t xml:space="preserve">4–16 bars</t>
  </si>
  <si>
    <t xml:space="preserve">GPU-heavy at 4K</t>
  </si>
  <si>
    <t xml:space="preserve">Ukiyo-e waves / patterns</t>
  </si>
  <si>
    <t xml:space="preserve">B · short holds / backgrounds</t>
  </si>
  <si>
    <t xml:space="preserve">Backgrounds, transitions</t>
  </si>
  <si>
    <t xml:space="preserve">No figures</t>
  </si>
  <si>
    <t xml:space="preserve">≤ 1 bar</t>
  </si>
  <si>
    <t xml:space="preserve">Ink wash (abstract)</t>
  </si>
  <si>
    <t xml:space="preserve">Transitions, emotion beats</t>
  </si>
  <si>
    <t xml:space="preserve">Watercolor washes</t>
  </si>
  <si>
    <t xml:space="preserve">Soft backgrounds</t>
  </si>
  <si>
    <t xml:space="preserve">≤ 2 bars</t>
  </si>
  <si>
    <t xml:space="preserve">Crayon texture</t>
  </si>
  <si>
    <t xml:space="preserve">A 'drawn by a kid' flash</t>
  </si>
  <si>
    <t xml:space="preserve">Simple shapes only</t>
  </si>
  <si>
    <t xml:space="preserve">Isometric rooms</t>
  </si>
  <si>
    <t xml:space="preserve">Establishing shots</t>
  </si>
  <si>
    <t xml:space="preserve">Pixel/voxel only</t>
  </si>
  <si>
    <t xml:space="preserve">Anime / cartoon humans</t>
  </si>
  <si>
    <t xml:space="preserve">C · avoid</t>
  </si>
  <si>
    <t xml:space="preserve">—</t>
  </si>
  <si>
    <t xml:space="preserve">Four attempts failed on the Venmar branch</t>
  </si>
  <si>
    <t xml:space="preserve">Realistic faces / photoreal people</t>
  </si>
  <si>
    <t xml:space="preserve">Reads as AI-made</t>
  </si>
  <si>
    <t xml:space="preserve">Effort levels · what each level costs</t>
  </si>
  <si>
    <t xml:space="preserve">Owner rule: level 6 is the minimum for every film. Levels from the medium-lens-film skill (07_quality_levels.md); hours are Opus agent-hours, estimates until ST-01 is calibrated. Blue cells are inputs.</t>
  </si>
  <si>
    <t xml:space="preserve">Level</t>
  </si>
  <si>
    <t xml:space="preserve">Name</t>
  </si>
  <si>
    <t xml:space="preserve">Looks like</t>
  </si>
  <si>
    <t xml:space="preserve">Rendering added at this level</t>
  </si>
  <si>
    <t xml:space="preserve">Agent-hours</t>
  </si>
  <si>
    <t xml:space="preserve">Final render (GPU)</t>
  </si>
  <si>
    <t xml:space="preserve">D</t>
  </si>
  <si>
    <t xml:space="preserve">Clean synced motion graphics, one look</t>
  </si>
  <si>
    <t xml:space="preserve">Bloom, grain, flash/shake on hits, word-synced type</t>
  </si>
  <si>
    <t xml:space="preserve">3–4</t>
  </si>
  <si>
    <t xml:space="preserve">Minutes (1080p)</t>
  </si>
  <si>
    <t xml:space="preserve">C</t>
  </si>
  <si>
    <t xml:space="preserve">Simple 3D lit properly</t>
  </si>
  <si>
    <t xml:space="preserve">Soft shadows, ambient occlusion, real materials, depth of field</t>
  </si>
  <si>
    <t xml:space="preserve">4–5</t>
  </si>
  <si>
    <t xml:space="preserve">Low</t>
  </si>
  <si>
    <t xml:space="preserve">C+</t>
  </si>
  <si>
    <t xml:space="preserve">+ atmosphere</t>
  </si>
  <si>
    <t xml:space="preserve">Fog, god rays, rain on glass, wet reflections, secondary motion</t>
  </si>
  <si>
    <t xml:space="preserve">5–6</t>
  </si>
  <si>
    <t xml:space="preserve">Low–medium</t>
  </si>
  <si>
    <t xml:space="preserve">Studio ad; mixed style deck</t>
  </si>
  <si>
    <t xml:space="preserve">Bounce light, PBR bloom, flares, lens dirt; 3–5 switch styles + material transitions</t>
  </si>
  <si>
    <t xml:space="preserve">6–7</t>
  </si>
  <si>
    <t xml:space="preserve">Medium</t>
  </si>
  <si>
    <t xml:space="preserve">B+</t>
  </si>
  <si>
    <t xml:space="preserve">Dressed sets</t>
  </si>
  <si>
    <t xml:space="preserve">2 fully dressed environments, lit particles, mosaic of styles</t>
  </si>
  <si>
    <t xml:space="preserve">7–8</t>
  </si>
  <si>
    <t xml:space="preserve">Cinematic</t>
  </si>
  <si>
    <t xml:space="preserve">Volumetric sky/light, 60 fps adaptive motion blur, 1 hero shot</t>
  </si>
  <si>
    <t xml:space="preserve">8–10</t>
  </si>
  <si>
    <t xml:space="preserve">Medium–high</t>
  </si>
  <si>
    <t xml:space="preserve">A+</t>
  </si>
  <si>
    <t xml:space="preserve">Feels shot on film</t>
  </si>
  <si>
    <t xml:space="preserve">Film grain, halation, gate weave, grade per shot</t>
  </si>
  <si>
    <t xml:space="preserve">10–11</t>
  </si>
  <si>
    <t xml:space="preserve">High</t>
  </si>
  <si>
    <t xml:space="preserve">S</t>
  </si>
  <si>
    <t xml:space="preserve">Directed</t>
  </si>
  <si>
    <t xml:space="preserve">Camera choreography per shot, a material transition on every cut, nested pull-back ending</t>
  </si>
  <si>
    <t xml:space="preserve">11–13</t>
  </si>
  <si>
    <t xml:space="preserve">S+</t>
  </si>
  <si>
    <t xml:space="preserve">Simulation</t>
  </si>
  <si>
    <t xml:space="preserve">Cloth, smoke/ink, voxel destruction, crowds of chat bubbles, sound design</t>
  </si>
  <si>
    <t xml:space="preserve">13–14</t>
  </si>
  <si>
    <t xml:space="preserve">Very high</t>
  </si>
  <si>
    <t xml:space="preserve">S++</t>
  </si>
  <si>
    <r>
      <rPr>
        <sz val="10"/>
        <color rgb="FF1F2430"/>
        <rFont val="WenQuanYi Zen Hei"/>
        <family val="2"/>
      </rPr>
      <t xml:space="preserve">《光先到》 </t>
    </r>
    <r>
      <rPr>
        <sz val="10"/>
        <color rgb="FF1F2430"/>
        <rFont val="Arial"/>
        <family val="0"/>
        <charset val="1"/>
      </rPr>
      <t xml:space="preserve">/ pdoom 4K</t>
    </r>
  </si>
  <si>
    <t xml:space="preserve">Every shot a hero shot, 4K60 path-traced look</t>
  </si>
  <si>
    <t xml:space="preserve">14–16</t>
  </si>
  <si>
    <t xml:space="preserve">Very high (20–60+ GPU-h)</t>
  </si>
  <si>
    <t xml:space="preserve">Plan rates (% of a weekly allowance per agent-hour, incl. +30% rework; replace with your own after calibration)</t>
  </si>
  <si>
    <t xml:space="preserve">Pro</t>
  </si>
  <si>
    <t xml:space="preserve">Max 5×</t>
  </si>
  <si>
    <t xml:space="preserve">Max 20×</t>
  </si>
  <si>
    <t xml:space="preserve">Source: medium-lens-film skill, references/07_quality_levels.md (branch claude/zealous-newton-7zpeja). Estimates, not measurements.</t>
  </si>
  <si>
    <t xml:space="preserve">Effort by film (first wave)</t>
  </si>
  <si>
    <t xml:space="preserve">Film(s)</t>
  </si>
  <si>
    <t xml:space="preserve">Count</t>
  </si>
  <si>
    <t xml:space="preserve">Hours each</t>
  </si>
  <si>
    <t xml:space="preserve">Hours total</t>
  </si>
  <si>
    <t xml:space="preserve">Pro weeks</t>
  </si>
  <si>
    <t xml:space="preserve">Max 5× weeks</t>
  </si>
  <si>
    <t xml:space="preserve">Max 20× weeks</t>
  </si>
  <si>
    <t xml:space="preserve">Why this level</t>
  </si>
  <si>
    <t xml:space="preserve">ST-01 (first story)</t>
  </si>
  <si>
    <t xml:space="preserve">6 · A mixed</t>
  </si>
  <si>
    <t xml:space="preserve">Builds the deck shaders, pixel/voxel streamer, kinetic type, volumetrics and motion blur</t>
  </si>
  <si>
    <t xml:space="preserve">ST-02 … ST-08</t>
  </si>
  <si>
    <t xml:space="preserve">Reuses the deck shaders; new story, sets, hero shot, song timing</t>
  </si>
  <si>
    <t xml:space="preserve">GN-U1A (first A)</t>
  </si>
  <si>
    <t xml:space="preserve">6 · A depth</t>
  </si>
  <si>
    <t xml:space="preserve">Builds the majestic sets: system view, constellations, sky</t>
  </si>
  <si>
    <t xml:space="preserve">GN-U2A … U8A</t>
  </si>
  <si>
    <t xml:space="preserve">Reuses the A sets; new use case</t>
  </si>
  <si>
    <t xml:space="preserve">GN-U1B (first B)</t>
  </si>
  <si>
    <t xml:space="preserve">Builds the streamer room in pixel/voxel at level 6</t>
  </si>
  <si>
    <t xml:space="preserve">GN-U2B … U8B</t>
  </si>
  <si>
    <t xml:space="preserve">Reuses the room and the deck</t>
  </si>
  <si>
    <t xml:space="preserve">8 · S depth</t>
  </si>
  <si>
    <t xml:space="preserve">The hero film: camera choreography, nested pull-back</t>
  </si>
  <si>
    <t xml:space="preserve">7 · A+ mixed</t>
  </si>
  <si>
    <t xml:space="preserve">Same beats as A, reuses its assets</t>
  </si>
  <si>
    <t xml:space="preserve">Total</t>
  </si>
  <si>
    <t xml:space="preserve">Weeks = weekly allowances used (1.0 = one full week of that plan). Calibrate on ST-01: note the usage bar before and after, then replace the rates above.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</si>
</sst>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430"/>
      <name val="Arial"/>
      <family val="0"/>
      <charset val="1"/>
    </font>
    <font>
      <i val="true"/>
      <sz val="10"/>
      <color rgb="FF5B6170"/>
      <name val="Arial"/>
      <family val="0"/>
      <charset val="1"/>
    </font>
    <font>
      <b val="true"/>
      <sz val="12"/>
      <color rgb="FF1F24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430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i val="true"/>
      <sz val="9"/>
      <color rgb="FF5B6170"/>
      <name val="Arial"/>
      <family val="0"/>
      <charset val="1"/>
    </font>
    <font>
      <i val="true"/>
      <sz val="10"/>
      <color rgb="FF1F2430"/>
      <name val="Arial"/>
      <family val="0"/>
      <charset val="1"/>
    </font>
    <font>
      <sz val="10"/>
      <color rgb="FF1F2430"/>
      <name val="WenQuanYi Zen Hei"/>
      <family val="2"/>
    </font>
    <font>
      <b val="true"/>
      <sz val="11"/>
      <color rgb="FF1F2430"/>
      <name val="Arial"/>
      <family val="0"/>
      <charset val="1"/>
    </font>
    <font>
      <sz val="10"/>
      <color rgb="FF0000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  <fill>
      <patternFill patternType="solid">
        <fgColor rgb="FFFFF4CC"/>
        <bgColor rgb="FFFFE7B3"/>
      </patternFill>
    </fill>
    <fill>
      <patternFill patternType="solid">
        <fgColor rgb="FFF3F3F3"/>
        <bgColor rgb="FFEEEEEE"/>
      </patternFill>
    </fill>
    <fill>
      <patternFill patternType="solid">
        <fgColor rgb="FFFFFFFF"/>
        <bgColor rgb="FFF3F3F3"/>
      </patternFill>
    </fill>
    <fill>
      <patternFill patternType="solid">
        <fgColor rgb="FFDCEBFF"/>
        <bgColor rgb="FFE9ECF2"/>
      </patternFill>
    </fill>
    <fill>
      <patternFill patternType="solid">
        <fgColor rgb="FFFFE7B3"/>
        <bgColor rgb="FFFFF4CC"/>
      </patternFill>
    </fill>
    <fill>
      <patternFill patternType="solid">
        <fgColor rgb="FFD5F2DC"/>
        <bgColor rgb="FFDCEBFF"/>
      </patternFill>
    </fill>
    <fill>
      <patternFill patternType="solid">
        <fgColor rgb="FFF8D3D3"/>
        <bgColor rgb="FFFFE7B3"/>
      </patternFill>
    </fill>
    <fill>
      <patternFill patternType="solid">
        <fgColor rgb="FFEEEEEE"/>
        <bgColor rgb="FFE9ECF2"/>
      </patternFill>
    </fill>
    <fill>
      <patternFill patternType="solid">
        <fgColor rgb="FFE9ECF2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D5F2DC"/>
          <bgColor rgb="FF000000"/>
        </patternFill>
      </fill>
    </dxf>
    <dxf>
      <fill>
        <patternFill patternType="solid">
          <fgColor rgb="FFDCEBFF"/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EBFF"/>
        </patternFill>
      </fill>
    </dxf>
    <dxf>
      <fill>
        <patternFill>
          <bgColor rgb="FFFFE7B3"/>
        </patternFill>
      </fill>
    </dxf>
    <dxf>
      <fill>
        <patternFill>
          <bgColor rgb="FFD5F2DC"/>
        </patternFill>
      </fill>
    </dxf>
    <dxf>
      <fill>
        <patternFill>
          <bgColor rgb="FFF8D3D3"/>
        </patternFill>
      </fill>
    </dxf>
    <dxf>
      <fill>
        <patternFill>
          <bgColor rgb="FFEEEEEE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FFE7B3"/>
          <bgColor rgb="FF000000"/>
        </patternFill>
      </fill>
    </dxf>
    <dxf>
      <fill>
        <patternFill patternType="solid">
          <fgColor rgb="FFEEEE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EEEEE"/>
      <rgbColor rgb="FF808080"/>
      <rgbColor rgb="FF9999FF"/>
      <rgbColor rgb="FF993366"/>
      <rgbColor rgb="FFFFF4CC"/>
      <rgbColor rgb="FFDCEBFF"/>
      <rgbColor rgb="FF660066"/>
      <rgbColor rgb="FFFF8080"/>
      <rgbColor rgb="FF0F6FDE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CF2"/>
      <rgbColor rgb="FFD5F2DC"/>
      <rgbColor rgb="FFFFE7B3"/>
      <rgbColor rgb="FFF3F3F3"/>
      <rgbColor rgb="FFFF99CC"/>
      <rgbColor rgb="FFCC99FF"/>
      <rgbColor rgb="FFF8D3D3"/>
      <rgbColor rgb="FF7A5AF8"/>
      <rgbColor rgb="FF33CCCC"/>
      <rgbColor rgb="FF99CC00"/>
      <rgbColor rgb="FFFFCC00"/>
      <rgbColor rgb="FFFFB224"/>
      <rgbColor rgb="FFE5484D"/>
      <rgbColor rgb="FF5B6170"/>
      <rgbColor rgb="FF969696"/>
      <rgbColor rgb="FF003366"/>
      <rgbColor rgb="FF2BB673"/>
      <rgbColor rgb="FF003300"/>
      <rgbColor rgb="FF333300"/>
      <rgbColor rgb="FFC2410C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430"/>
    <pageSetUpPr fitToPage="false"/>
  </sheetPr>
  <dimension ref="A1:H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7" min="6" style="0" width="15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n">
        <f aca="false">COUNTA('1 Streamer Stories'!A6:A13)</f>
        <v>8</v>
      </c>
      <c r="F6" s="5" t="n">
        <f aca="false">COUNTIF('1 Streamer Stories'!M6:M13,"Approved")</f>
        <v>1</v>
      </c>
      <c r="G6" s="5" t="n">
        <f aca="false">COUNTIF('1 Streamer Stories'!N6:N13,"Approved")</f>
        <v>0</v>
      </c>
      <c r="H6" s="5" t="n">
        <f aca="false">COUNTIF('1 Streamer Stories'!Q6:Q13,"Approved")</f>
        <v>0</v>
      </c>
    </row>
    <row r="7" customFormat="false" ht="15" hidden="false" customHeight="false" outlineLevel="0" collapsed="false">
      <c r="A7" s="5" t="s">
        <v>15</v>
      </c>
      <c r="B7" s="5" t="s">
        <v>16</v>
      </c>
      <c r="C7" s="5" t="s">
        <v>17</v>
      </c>
      <c r="D7" s="5" t="s">
        <v>18</v>
      </c>
      <c r="E7" s="5" t="n">
        <f aca="false">COUNTA('2 Brand · Generic'!A5:A20)</f>
        <v>16</v>
      </c>
      <c r="F7" s="5" t="n">
        <f aca="false">COUNTIF('2 Brand · Generic'!O5:O20,"Approved")</f>
        <v>0</v>
      </c>
      <c r="G7" s="5" t="n">
        <f aca="false">COUNTIF('2 Brand · Generic'!P5:P20,"Approved")</f>
        <v>0</v>
      </c>
      <c r="H7" s="5" t="n">
        <f aca="false">COUNTIF('2 Brand · Generic'!S5:S20,"Approved")</f>
        <v>0</v>
      </c>
    </row>
    <row r="8" customFormat="false" ht="15" hidden="false" customHeight="false" outlineLevel="0" collapsed="false">
      <c r="A8" s="5" t="s">
        <v>19</v>
      </c>
      <c r="B8" s="5" t="s">
        <v>20</v>
      </c>
      <c r="C8" s="5" t="s">
        <v>21</v>
      </c>
      <c r="D8" s="5" t="s">
        <v>18</v>
      </c>
      <c r="E8" s="5" t="n">
        <f aca="false">COUNTA('3 Brand · Master'!A5:A6)</f>
        <v>2</v>
      </c>
      <c r="F8" s="5" t="n">
        <f aca="false">COUNTIF('3 Brand · Master'!H5:H6,"Approved")</f>
        <v>0</v>
      </c>
      <c r="G8" s="5" t="n">
        <f aca="false">COUNTIF('3 Brand · Master'!I5:I6,"Approved")</f>
        <v>0</v>
      </c>
      <c r="H8" s="5" t="n">
        <f aca="false">COUNTIF('3 Brand · Master'!L5:L6,"Approved")</f>
        <v>0</v>
      </c>
    </row>
    <row r="10" customFormat="false" ht="15" hidden="false" customHeight="false" outlineLevel="0" collapsed="false">
      <c r="A10" s="3" t="s">
        <v>22</v>
      </c>
    </row>
    <row r="11" customFormat="false" ht="15" hidden="false" customHeight="false" outlineLevel="0" collapsed="false">
      <c r="A11" s="6" t="s">
        <v>23</v>
      </c>
      <c r="C11" s="2" t="s">
        <v>24</v>
      </c>
    </row>
    <row r="12" customFormat="false" ht="15" hidden="false" customHeight="false" outlineLevel="0" collapsed="false">
      <c r="A12" s="6" t="s">
        <v>25</v>
      </c>
    </row>
    <row r="13" customFormat="false" ht="15" hidden="false" customHeight="false" outlineLevel="0" collapsed="false">
      <c r="A13" s="6" t="s">
        <v>26</v>
      </c>
    </row>
    <row r="14" customFormat="false" ht="15" hidden="false" customHeight="false" outlineLevel="0" collapsed="false">
      <c r="A14" s="6" t="s">
        <v>27</v>
      </c>
    </row>
    <row r="15" customFormat="false" ht="15" hidden="false" customHeight="false" outlineLevel="0" collapsed="false">
      <c r="A15" s="6" t="s">
        <v>28</v>
      </c>
    </row>
    <row r="16" customFormat="false" ht="15" hidden="false" customHeight="false" outlineLevel="0" collapsed="false">
      <c r="A16" s="6" t="s">
        <v>29</v>
      </c>
    </row>
    <row r="17" customFormat="false" ht="15" hidden="false" customHeight="false" outlineLevel="0" collapsed="false">
      <c r="A17" s="6" t="s">
        <v>30</v>
      </c>
    </row>
    <row r="18" customFormat="false" ht="15" hidden="false" customHeight="false" outlineLevel="0" collapsed="false">
      <c r="A18" s="6" t="s">
        <v>31</v>
      </c>
    </row>
    <row r="21" customFormat="false" ht="15" hidden="false" customHeight="false" outlineLevel="0" collapsed="false">
      <c r="A21" s="3" t="s">
        <v>32</v>
      </c>
    </row>
    <row r="22" customFormat="false" ht="15" hidden="false" customHeight="false" outlineLevel="0" collapsed="false">
      <c r="A22" s="7" t="s">
        <v>33</v>
      </c>
      <c r="C22" s="6" t="s">
        <v>34</v>
      </c>
    </row>
    <row r="23" customFormat="false" ht="15" hidden="false" customHeight="false" outlineLevel="0" collapsed="false">
      <c r="A23" s="8" t="s">
        <v>35</v>
      </c>
      <c r="C23" s="6" t="s">
        <v>36</v>
      </c>
    </row>
    <row r="25" customFormat="false" ht="15" hidden="false" customHeight="false" outlineLevel="0" collapsed="false">
      <c r="A25" s="9" t="s">
        <v>37</v>
      </c>
    </row>
    <row r="26" customFormat="false" ht="15" hidden="false" customHeight="false" outlineLevel="0" collapsed="false">
      <c r="A26" s="10" t="s">
        <v>38</v>
      </c>
    </row>
    <row r="27" customFormat="false" ht="15" hidden="false" customHeight="false" outlineLevel="0" collapsed="false">
      <c r="A27" s="11" t="s">
        <v>39</v>
      </c>
    </row>
    <row r="28" customFormat="false" ht="15" hidden="false" customHeight="false" outlineLevel="0" collapsed="false">
      <c r="A28" s="12" t="s">
        <v>40</v>
      </c>
    </row>
    <row r="29" customFormat="false" ht="15" hidden="false" customHeight="false" outlineLevel="0" collapsed="false">
      <c r="A29" s="13" t="s">
        <v>41</v>
      </c>
    </row>
    <row r="30" customFormat="false" ht="15" hidden="false" customHeight="false" outlineLevel="0" collapsed="false">
      <c r="A30" s="14" t="s">
        <v>42</v>
      </c>
    </row>
    <row r="31" customFormat="false" ht="15" hidden="false" customHeight="false" outlineLevel="0" collapsed="false">
      <c r="A31" s="15" t="s">
        <v>43</v>
      </c>
    </row>
    <row r="34" customFormat="false" ht="15" hidden="false" customHeight="false" outlineLevel="0" collapsed="false">
      <c r="A34" s="3" t="s">
        <v>44</v>
      </c>
    </row>
    <row r="35" customFormat="false" ht="15" hidden="false" customHeight="false" outlineLevel="0" collapsed="false">
      <c r="A35" s="6" t="s">
        <v>45</v>
      </c>
    </row>
    <row r="36" customFormat="false" ht="15" hidden="false" customHeight="false" outlineLevel="0" collapsed="false">
      <c r="A36" s="6" t="s">
        <v>46</v>
      </c>
    </row>
    <row r="37" customFormat="false" ht="15" hidden="false" customHeight="false" outlineLevel="0" collapsed="false">
      <c r="A37" s="6" t="s">
        <v>47</v>
      </c>
    </row>
    <row r="38" customFormat="false" ht="15" hidden="false" customHeight="false" outlineLevel="0" collapsed="false">
      <c r="A38" s="6" t="s">
        <v>48</v>
      </c>
    </row>
    <row r="39" customFormat="false" ht="15" hidden="false" customHeight="false" outlineLevel="0" collapsed="false">
      <c r="A39" s="6" t="s">
        <v>49</v>
      </c>
    </row>
    <row r="40" customFormat="false" ht="15" hidden="false" customHeight="false" outlineLevel="0" collapsed="false">
      <c r="A40" s="6" t="s">
        <v>50</v>
      </c>
    </row>
    <row r="41" customFormat="false" ht="15" hidden="false" customHeight="false" outlineLevel="0" collapsed="false">
      <c r="A41" s="6" t="s">
        <v>51</v>
      </c>
    </row>
    <row r="42" customFormat="false" ht="15" hidden="false" customHeight="false" outlineLevel="0" collapsed="false">
      <c r="A42" s="16" t="s">
        <v>52</v>
      </c>
    </row>
    <row r="43" customFormat="false" ht="15" hidden="false" customHeight="false" outlineLevel="0" collapsed="false">
      <c r="A43" s="6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U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6" min="13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8"/>
    <col collapsed="false" customWidth="true" hidden="false" outlineLevel="0" max="20" min="20" style="0" width="12"/>
    <col collapsed="false" customWidth="true" hidden="false" outlineLevel="0" max="21" min="21" style="0" width="30"/>
  </cols>
  <sheetData>
    <row r="1" customFormat="false" ht="25.5" hidden="false" customHeight="tru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31.5" hidden="false" customHeight="true" outlineLevel="0" collapsed="false">
      <c r="A4" s="4" t="s">
        <v>56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63</v>
      </c>
      <c r="I4" s="4" t="s">
        <v>64</v>
      </c>
      <c r="J4" s="4" t="s">
        <v>65</v>
      </c>
      <c r="K4" s="4" t="s">
        <v>66</v>
      </c>
      <c r="L4" s="4" t="s">
        <v>67</v>
      </c>
      <c r="M4" s="4" t="s">
        <v>68</v>
      </c>
      <c r="N4" s="4" t="s">
        <v>69</v>
      </c>
      <c r="O4" s="4" t="s">
        <v>70</v>
      </c>
      <c r="P4" s="4" t="s">
        <v>71</v>
      </c>
      <c r="Q4" s="4" t="s">
        <v>72</v>
      </c>
      <c r="R4" s="4" t="s">
        <v>73</v>
      </c>
      <c r="S4" s="4" t="s">
        <v>74</v>
      </c>
      <c r="T4" s="4" t="s">
        <v>75</v>
      </c>
      <c r="U4" s="4" t="s">
        <v>76</v>
      </c>
    </row>
    <row r="5" customFormat="false" ht="23.85" hidden="false" customHeight="false" outlineLevel="0" collapsed="false">
      <c r="A5" s="17" t="s">
        <v>77</v>
      </c>
      <c r="B5" s="17" t="s">
        <v>78</v>
      </c>
      <c r="C5" s="17" t="s">
        <v>79</v>
      </c>
      <c r="D5" s="17" t="s">
        <v>80</v>
      </c>
      <c r="E5" s="17" t="s">
        <v>81</v>
      </c>
      <c r="F5" s="17" t="s">
        <v>82</v>
      </c>
      <c r="G5" s="17" t="s">
        <v>83</v>
      </c>
      <c r="H5" s="17" t="s">
        <v>84</v>
      </c>
      <c r="I5" s="17" t="s">
        <v>85</v>
      </c>
      <c r="J5" s="17" t="s">
        <v>86</v>
      </c>
      <c r="K5" s="17" t="s">
        <v>87</v>
      </c>
      <c r="L5" s="17" t="s">
        <v>88</v>
      </c>
      <c r="M5" s="17" t="s">
        <v>39</v>
      </c>
      <c r="N5" s="17" t="s">
        <v>38</v>
      </c>
      <c r="O5" s="17" t="s">
        <v>38</v>
      </c>
      <c r="P5" s="17" t="s">
        <v>38</v>
      </c>
      <c r="Q5" s="17" t="s">
        <v>38</v>
      </c>
      <c r="R5" s="17"/>
      <c r="S5" s="17" t="s">
        <v>89</v>
      </c>
      <c r="T5" s="17"/>
      <c r="U5" s="17" t="s">
        <v>90</v>
      </c>
    </row>
    <row r="6" customFormat="false" ht="35.05" hidden="false" customHeight="false" outlineLevel="0" collapsed="false">
      <c r="A6" s="5" t="s">
        <v>91</v>
      </c>
      <c r="B6" s="18" t="s">
        <v>92</v>
      </c>
      <c r="C6" s="18" t="s">
        <v>93</v>
      </c>
      <c r="D6" s="18" t="s">
        <v>94</v>
      </c>
      <c r="E6" s="18" t="s">
        <v>81</v>
      </c>
      <c r="F6" s="18" t="s">
        <v>95</v>
      </c>
      <c r="G6" s="18" t="s">
        <v>83</v>
      </c>
      <c r="H6" s="5" t="s">
        <v>96</v>
      </c>
      <c r="I6" s="18" t="s">
        <v>97</v>
      </c>
      <c r="J6" s="5" t="s">
        <v>86</v>
      </c>
      <c r="K6" s="5" t="s">
        <v>98</v>
      </c>
      <c r="L6" s="18" t="s">
        <v>99</v>
      </c>
      <c r="M6" s="5" t="s">
        <v>41</v>
      </c>
      <c r="N6" s="5" t="s">
        <v>38</v>
      </c>
      <c r="O6" s="5" t="s">
        <v>38</v>
      </c>
      <c r="P6" s="5" t="s">
        <v>38</v>
      </c>
      <c r="Q6" s="5" t="s">
        <v>38</v>
      </c>
      <c r="R6" s="18"/>
      <c r="S6" s="5" t="s">
        <v>89</v>
      </c>
      <c r="T6" s="18"/>
      <c r="U6" s="18" t="s">
        <v>100</v>
      </c>
    </row>
    <row r="7" customFormat="false" ht="35.05" hidden="false" customHeight="false" outlineLevel="0" collapsed="false">
      <c r="A7" s="5" t="s">
        <v>101</v>
      </c>
      <c r="B7" s="18" t="s">
        <v>102</v>
      </c>
      <c r="C7" s="18" t="s">
        <v>103</v>
      </c>
      <c r="D7" s="18" t="s">
        <v>104</v>
      </c>
      <c r="E7" s="18" t="s">
        <v>105</v>
      </c>
      <c r="F7" s="18" t="s">
        <v>106</v>
      </c>
      <c r="G7" s="18" t="s">
        <v>83</v>
      </c>
      <c r="H7" s="5" t="s">
        <v>107</v>
      </c>
      <c r="I7" s="18" t="s">
        <v>108</v>
      </c>
      <c r="J7" s="5" t="s">
        <v>86</v>
      </c>
      <c r="K7" s="5" t="s">
        <v>109</v>
      </c>
      <c r="L7" s="18" t="s">
        <v>110</v>
      </c>
      <c r="M7" s="5" t="s">
        <v>38</v>
      </c>
      <c r="N7" s="5" t="s">
        <v>38</v>
      </c>
      <c r="O7" s="5" t="s">
        <v>38</v>
      </c>
      <c r="P7" s="5" t="s">
        <v>38</v>
      </c>
      <c r="Q7" s="5" t="s">
        <v>38</v>
      </c>
      <c r="R7" s="18"/>
      <c r="S7" s="5" t="s">
        <v>89</v>
      </c>
      <c r="T7" s="18"/>
      <c r="U7" s="18" t="s">
        <v>111</v>
      </c>
    </row>
    <row r="8" customFormat="false" ht="15" hidden="false" customHeight="false" outlineLevel="0" collapsed="false">
      <c r="A8" s="5" t="s">
        <v>112</v>
      </c>
      <c r="B8" s="18"/>
      <c r="C8" s="18"/>
      <c r="D8" s="18"/>
      <c r="E8" s="18"/>
      <c r="F8" s="18"/>
      <c r="G8" s="18"/>
      <c r="H8" s="5" t="s">
        <v>113</v>
      </c>
      <c r="I8" s="18"/>
      <c r="J8" s="5" t="s">
        <v>86</v>
      </c>
      <c r="K8" s="5" t="s">
        <v>114</v>
      </c>
      <c r="L8" s="18"/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18"/>
      <c r="S8" s="5"/>
      <c r="T8" s="18"/>
      <c r="U8" s="18" t="s">
        <v>115</v>
      </c>
    </row>
    <row r="9" customFormat="false" ht="15" hidden="false" customHeight="false" outlineLevel="0" collapsed="false">
      <c r="A9" s="5" t="s">
        <v>116</v>
      </c>
      <c r="B9" s="18"/>
      <c r="C9" s="18"/>
      <c r="D9" s="18"/>
      <c r="E9" s="18"/>
      <c r="F9" s="18"/>
      <c r="G9" s="18"/>
      <c r="H9" s="5" t="s">
        <v>117</v>
      </c>
      <c r="I9" s="18"/>
      <c r="J9" s="5" t="s">
        <v>86</v>
      </c>
      <c r="K9" s="5" t="s">
        <v>114</v>
      </c>
      <c r="L9" s="18"/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18"/>
      <c r="S9" s="5"/>
      <c r="T9" s="18"/>
      <c r="U9" s="18" t="s">
        <v>115</v>
      </c>
    </row>
    <row r="10" customFormat="false" ht="23.85" hidden="false" customHeight="false" outlineLevel="0" collapsed="false">
      <c r="A10" s="5" t="s">
        <v>118</v>
      </c>
      <c r="B10" s="18"/>
      <c r="C10" s="18"/>
      <c r="D10" s="18"/>
      <c r="E10" s="18"/>
      <c r="F10" s="18"/>
      <c r="G10" s="18"/>
      <c r="H10" s="5" t="s">
        <v>119</v>
      </c>
      <c r="I10" s="18"/>
      <c r="J10" s="5" t="s">
        <v>86</v>
      </c>
      <c r="K10" s="5" t="s">
        <v>114</v>
      </c>
      <c r="L10" s="18"/>
      <c r="M10" s="5" t="s">
        <v>38</v>
      </c>
      <c r="N10" s="5" t="s">
        <v>38</v>
      </c>
      <c r="O10" s="5" t="s">
        <v>38</v>
      </c>
      <c r="P10" s="5" t="s">
        <v>38</v>
      </c>
      <c r="Q10" s="5" t="s">
        <v>38</v>
      </c>
      <c r="R10" s="18"/>
      <c r="S10" s="5"/>
      <c r="T10" s="18"/>
      <c r="U10" s="18" t="s">
        <v>115</v>
      </c>
    </row>
    <row r="11" customFormat="false" ht="15" hidden="false" customHeight="false" outlineLevel="0" collapsed="false">
      <c r="A11" s="5" t="s">
        <v>120</v>
      </c>
      <c r="B11" s="18"/>
      <c r="C11" s="18"/>
      <c r="D11" s="18"/>
      <c r="E11" s="18"/>
      <c r="F11" s="18"/>
      <c r="G11" s="18"/>
      <c r="H11" s="5" t="s">
        <v>121</v>
      </c>
      <c r="I11" s="18"/>
      <c r="J11" s="5" t="s">
        <v>86</v>
      </c>
      <c r="K11" s="5" t="s">
        <v>114</v>
      </c>
      <c r="L11" s="18"/>
      <c r="M11" s="5" t="s">
        <v>38</v>
      </c>
      <c r="N11" s="5" t="s">
        <v>38</v>
      </c>
      <c r="O11" s="5" t="s">
        <v>38</v>
      </c>
      <c r="P11" s="5" t="s">
        <v>38</v>
      </c>
      <c r="Q11" s="5" t="s">
        <v>38</v>
      </c>
      <c r="R11" s="18"/>
      <c r="S11" s="5"/>
      <c r="T11" s="18"/>
      <c r="U11" s="18" t="s">
        <v>115</v>
      </c>
    </row>
    <row r="12" customFormat="false" ht="15" hidden="false" customHeight="false" outlineLevel="0" collapsed="false">
      <c r="A12" s="5" t="s">
        <v>122</v>
      </c>
      <c r="B12" s="18"/>
      <c r="C12" s="18"/>
      <c r="D12" s="18"/>
      <c r="E12" s="18"/>
      <c r="F12" s="18"/>
      <c r="G12" s="18"/>
      <c r="H12" s="5" t="s">
        <v>123</v>
      </c>
      <c r="I12" s="18"/>
      <c r="J12" s="5" t="s">
        <v>86</v>
      </c>
      <c r="K12" s="5" t="s">
        <v>114</v>
      </c>
      <c r="L12" s="18"/>
      <c r="M12" s="5" t="s">
        <v>38</v>
      </c>
      <c r="N12" s="5" t="s">
        <v>38</v>
      </c>
      <c r="O12" s="5" t="s">
        <v>38</v>
      </c>
      <c r="P12" s="5" t="s">
        <v>38</v>
      </c>
      <c r="Q12" s="5" t="s">
        <v>38</v>
      </c>
      <c r="R12" s="18"/>
      <c r="S12" s="5"/>
      <c r="T12" s="18"/>
      <c r="U12" s="18" t="s">
        <v>115</v>
      </c>
    </row>
    <row r="13" customFormat="false" ht="15" hidden="false" customHeight="false" outlineLevel="0" collapsed="false">
      <c r="A13" s="5" t="s">
        <v>124</v>
      </c>
      <c r="B13" s="18"/>
      <c r="C13" s="18"/>
      <c r="D13" s="18"/>
      <c r="E13" s="18"/>
      <c r="F13" s="18"/>
      <c r="G13" s="18"/>
      <c r="H13" s="5" t="s">
        <v>125</v>
      </c>
      <c r="I13" s="18"/>
      <c r="J13" s="5" t="s">
        <v>86</v>
      </c>
      <c r="K13" s="5" t="s">
        <v>114</v>
      </c>
      <c r="L13" s="18"/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18"/>
      <c r="S13" s="5"/>
      <c r="T13" s="18"/>
      <c r="U13" s="18" t="s">
        <v>115</v>
      </c>
    </row>
  </sheetData>
  <autoFilter ref="A4:U13"/>
  <conditionalFormatting sqref="M5:M13">
    <cfRule type="expression" priority="2" aboveAverage="0" equalAverage="0" bottom="0" percent="0" rank="0" text="" dxfId="7">
      <formula>M5="Not started"</formula>
    </cfRule>
    <cfRule type="expression" priority="3" aboveAverage="0" equalAverage="0" bottom="0" percent="0" rank="0" text="" dxfId="8">
      <formula>M5="In progress"</formula>
    </cfRule>
    <cfRule type="expression" priority="4" aboveAverage="0" equalAverage="0" bottom="0" percent="0" rank="0" text="" dxfId="9">
      <formula>M5="Review"</formula>
    </cfRule>
    <cfRule type="expression" priority="5" aboveAverage="0" equalAverage="0" bottom="0" percent="0" rank="0" text="" dxfId="10">
      <formula>M5="Approved"</formula>
    </cfRule>
    <cfRule type="expression" priority="6" aboveAverage="0" equalAverage="0" bottom="0" percent="0" rank="0" text="" dxfId="11">
      <formula>M5="Blocked"</formula>
    </cfRule>
    <cfRule type="expression" priority="7" aboveAverage="0" equalAverage="0" bottom="0" percent="0" rank="0" text="" dxfId="12">
      <formula>M5="N/A"</formula>
    </cfRule>
  </conditionalFormatting>
  <conditionalFormatting sqref="N5:N13">
    <cfRule type="expression" priority="8" aboveAverage="0" equalAverage="0" bottom="0" percent="0" rank="0" text="" dxfId="7">
      <formula>N5="Not started"</formula>
    </cfRule>
    <cfRule type="expression" priority="9" aboveAverage="0" equalAverage="0" bottom="0" percent="0" rank="0" text="" dxfId="8">
      <formula>N5="In progress"</formula>
    </cfRule>
    <cfRule type="expression" priority="10" aboveAverage="0" equalAverage="0" bottom="0" percent="0" rank="0" text="" dxfId="9">
      <formula>N5="Review"</formula>
    </cfRule>
    <cfRule type="expression" priority="11" aboveAverage="0" equalAverage="0" bottom="0" percent="0" rank="0" text="" dxfId="10">
      <formula>N5="Approved"</formula>
    </cfRule>
    <cfRule type="expression" priority="12" aboveAverage="0" equalAverage="0" bottom="0" percent="0" rank="0" text="" dxfId="11">
      <formula>N5="Blocked"</formula>
    </cfRule>
    <cfRule type="expression" priority="13" aboveAverage="0" equalAverage="0" bottom="0" percent="0" rank="0" text="" dxfId="12">
      <formula>N5="N/A"</formula>
    </cfRule>
  </conditionalFormatting>
  <conditionalFormatting sqref="O5:O13">
    <cfRule type="expression" priority="14" aboveAverage="0" equalAverage="0" bottom="0" percent="0" rank="0" text="" dxfId="7">
      <formula>O5="Not started"</formula>
    </cfRule>
    <cfRule type="expression" priority="15" aboveAverage="0" equalAverage="0" bottom="0" percent="0" rank="0" text="" dxfId="8">
      <formula>O5="In progress"</formula>
    </cfRule>
    <cfRule type="expression" priority="16" aboveAverage="0" equalAverage="0" bottom="0" percent="0" rank="0" text="" dxfId="9">
      <formula>O5="Review"</formula>
    </cfRule>
    <cfRule type="expression" priority="17" aboveAverage="0" equalAverage="0" bottom="0" percent="0" rank="0" text="" dxfId="10">
      <formula>O5="Approved"</formula>
    </cfRule>
    <cfRule type="expression" priority="18" aboveAverage="0" equalAverage="0" bottom="0" percent="0" rank="0" text="" dxfId="11">
      <formula>O5="Blocked"</formula>
    </cfRule>
    <cfRule type="expression" priority="19" aboveAverage="0" equalAverage="0" bottom="0" percent="0" rank="0" text="" dxfId="12">
      <formula>O5="N/A"</formula>
    </cfRule>
  </conditionalFormatting>
  <conditionalFormatting sqref="P5:P13">
    <cfRule type="expression" priority="20" aboveAverage="0" equalAverage="0" bottom="0" percent="0" rank="0" text="" dxfId="7">
      <formula>P5="Not started"</formula>
    </cfRule>
    <cfRule type="expression" priority="21" aboveAverage="0" equalAverage="0" bottom="0" percent="0" rank="0" text="" dxfId="8">
      <formula>P5="In progress"</formula>
    </cfRule>
    <cfRule type="expression" priority="22" aboveAverage="0" equalAverage="0" bottom="0" percent="0" rank="0" text="" dxfId="9">
      <formula>P5="Review"</formula>
    </cfRule>
    <cfRule type="expression" priority="23" aboveAverage="0" equalAverage="0" bottom="0" percent="0" rank="0" text="" dxfId="10">
      <formula>P5="Approved"</formula>
    </cfRule>
    <cfRule type="expression" priority="24" aboveAverage="0" equalAverage="0" bottom="0" percent="0" rank="0" text="" dxfId="11">
      <formula>P5="Blocked"</formula>
    </cfRule>
    <cfRule type="expression" priority="25" aboveAverage="0" equalAverage="0" bottom="0" percent="0" rank="0" text="" dxfId="12">
      <formula>P5="N/A"</formula>
    </cfRule>
  </conditionalFormatting>
  <conditionalFormatting sqref="Q5:Q13">
    <cfRule type="expression" priority="26" aboveAverage="0" equalAverage="0" bottom="0" percent="0" rank="0" text="" dxfId="7">
      <formula>Q5="Not started"</formula>
    </cfRule>
    <cfRule type="expression" priority="27" aboveAverage="0" equalAverage="0" bottom="0" percent="0" rank="0" text="" dxfId="8">
      <formula>Q5="In progress"</formula>
    </cfRule>
    <cfRule type="expression" priority="28" aboveAverage="0" equalAverage="0" bottom="0" percent="0" rank="0" text="" dxfId="9">
      <formula>Q5="Review"</formula>
    </cfRule>
    <cfRule type="expression" priority="29" aboveAverage="0" equalAverage="0" bottom="0" percent="0" rank="0" text="" dxfId="10">
      <formula>Q5="Approved"</formula>
    </cfRule>
    <cfRule type="expression" priority="30" aboveAverage="0" equalAverage="0" bottom="0" percent="0" rank="0" text="" dxfId="11">
      <formula>Q5="Blocked"</formula>
    </cfRule>
    <cfRule type="expression" priority="31" aboveAverage="0" equalAverage="0" bottom="0" percent="0" rank="0" text="" dxfId="12">
      <formula>Q5="N/A"</formula>
    </cfRule>
  </conditionalFormatting>
  <dataValidations count="5">
    <dataValidation allowBlank="true" errorStyle="stop" operator="between" showDropDown="false" showErrorMessage="false" showInputMessage="false" sqref="M5:M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N5:N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O5:O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13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224"/>
    <pageSetUpPr fitToPage="fals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0"/>
    <col collapsed="false" customWidth="true" hidden="false" outlineLevel="0" max="11" min="11" style="0" width="28"/>
    <col collapsed="false" customWidth="true" hidden="false" outlineLevel="0" max="12" min="12" style="0" width="2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8" min="15" style="0" width="12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26"/>
  </cols>
  <sheetData>
    <row r="1" customFormat="false" ht="25.5" hidden="false" customHeight="true" outlineLevel="0" collapsed="false">
      <c r="A1" s="1" t="s">
        <v>126</v>
      </c>
    </row>
    <row r="2" customFormat="false" ht="15" hidden="false" customHeight="false" outlineLevel="0" collapsed="false">
      <c r="A2" s="2" t="s">
        <v>127</v>
      </c>
    </row>
    <row r="4" customFormat="false" ht="31.5" hidden="false" customHeight="true" outlineLevel="0" collapsed="false">
      <c r="A4" s="4" t="s">
        <v>56</v>
      </c>
      <c r="B4" s="4" t="s">
        <v>128</v>
      </c>
      <c r="C4" s="4" t="s">
        <v>129</v>
      </c>
      <c r="D4" s="4" t="s">
        <v>62</v>
      </c>
      <c r="E4" s="4" t="s">
        <v>130</v>
      </c>
      <c r="F4" s="4" t="s">
        <v>131</v>
      </c>
      <c r="G4" s="4" t="s">
        <v>132</v>
      </c>
      <c r="H4" s="4" t="s">
        <v>133</v>
      </c>
      <c r="I4" s="4" t="s">
        <v>134</v>
      </c>
      <c r="J4" s="4" t="s">
        <v>135</v>
      </c>
      <c r="K4" s="4" t="s">
        <v>136</v>
      </c>
      <c r="L4" s="4" t="s">
        <v>137</v>
      </c>
      <c r="M4" s="4" t="s">
        <v>65</v>
      </c>
      <c r="N4" s="4" t="s">
        <v>66</v>
      </c>
      <c r="O4" s="4" t="s">
        <v>68</v>
      </c>
      <c r="P4" s="4" t="s">
        <v>69</v>
      </c>
      <c r="Q4" s="4" t="s">
        <v>70</v>
      </c>
      <c r="R4" s="4" t="s">
        <v>71</v>
      </c>
      <c r="S4" s="4" t="s">
        <v>72</v>
      </c>
      <c r="T4" s="4" t="s">
        <v>73</v>
      </c>
      <c r="U4" s="4" t="s">
        <v>75</v>
      </c>
      <c r="V4" s="4" t="s">
        <v>76</v>
      </c>
    </row>
    <row r="5" customFormat="false" ht="46.25" hidden="false" customHeight="false" outlineLevel="0" collapsed="false">
      <c r="A5" s="5" t="s">
        <v>138</v>
      </c>
      <c r="B5" s="5" t="s">
        <v>139</v>
      </c>
      <c r="C5" s="5" t="s">
        <v>140</v>
      </c>
      <c r="D5" s="5" t="s">
        <v>83</v>
      </c>
      <c r="E5" s="5" t="s">
        <v>141</v>
      </c>
      <c r="F5" s="5" t="s">
        <v>142</v>
      </c>
      <c r="G5" s="5" t="s">
        <v>143</v>
      </c>
      <c r="H5" s="5" t="s">
        <v>144</v>
      </c>
      <c r="I5" s="5" t="s">
        <v>145</v>
      </c>
      <c r="J5" s="5" t="s">
        <v>146</v>
      </c>
      <c r="K5" s="18"/>
      <c r="L5" s="5" t="s">
        <v>147</v>
      </c>
      <c r="M5" s="5" t="s">
        <v>148</v>
      </c>
      <c r="N5" s="5" t="s">
        <v>114</v>
      </c>
      <c r="O5" s="5" t="s">
        <v>38</v>
      </c>
      <c r="P5" s="5" t="s">
        <v>38</v>
      </c>
      <c r="Q5" s="5" t="s">
        <v>38</v>
      </c>
      <c r="R5" s="5" t="s">
        <v>38</v>
      </c>
      <c r="S5" s="5" t="s">
        <v>38</v>
      </c>
      <c r="T5" s="18"/>
      <c r="U5" s="18"/>
      <c r="V5" s="18"/>
    </row>
    <row r="6" customFormat="false" ht="35.05" hidden="false" customHeight="false" outlineLevel="0" collapsed="false">
      <c r="A6" s="5" t="s">
        <v>149</v>
      </c>
      <c r="B6" s="5" t="s">
        <v>150</v>
      </c>
      <c r="C6" s="5" t="s">
        <v>140</v>
      </c>
      <c r="D6" s="5" t="s">
        <v>83</v>
      </c>
      <c r="E6" s="5" t="s">
        <v>141</v>
      </c>
      <c r="F6" s="5" t="s">
        <v>142</v>
      </c>
      <c r="G6" s="5" t="s">
        <v>143</v>
      </c>
      <c r="H6" s="5" t="s">
        <v>144</v>
      </c>
      <c r="I6" s="5" t="s">
        <v>145</v>
      </c>
      <c r="J6" s="5" t="s">
        <v>151</v>
      </c>
      <c r="K6" s="18"/>
      <c r="L6" s="5" t="s">
        <v>147</v>
      </c>
      <c r="M6" s="5" t="s">
        <v>148</v>
      </c>
      <c r="N6" s="5" t="s">
        <v>114</v>
      </c>
      <c r="O6" s="5" t="s">
        <v>38</v>
      </c>
      <c r="P6" s="5" t="s">
        <v>38</v>
      </c>
      <c r="Q6" s="5" t="s">
        <v>38</v>
      </c>
      <c r="R6" s="5" t="s">
        <v>38</v>
      </c>
      <c r="S6" s="5" t="s">
        <v>38</v>
      </c>
      <c r="T6" s="18"/>
      <c r="U6" s="18"/>
      <c r="V6" s="18"/>
    </row>
    <row r="7" customFormat="false" ht="46.25" hidden="false" customHeight="false" outlineLevel="0" collapsed="false">
      <c r="A7" s="5" t="s">
        <v>152</v>
      </c>
      <c r="B7" s="5" t="s">
        <v>139</v>
      </c>
      <c r="C7" s="5" t="s">
        <v>153</v>
      </c>
      <c r="D7" s="5" t="s">
        <v>154</v>
      </c>
      <c r="E7" s="5" t="s">
        <v>155</v>
      </c>
      <c r="F7" s="5" t="s">
        <v>156</v>
      </c>
      <c r="G7" s="5" t="s">
        <v>157</v>
      </c>
      <c r="H7" s="5" t="s">
        <v>158</v>
      </c>
      <c r="I7" s="5" t="s">
        <v>145</v>
      </c>
      <c r="J7" s="5" t="s">
        <v>146</v>
      </c>
      <c r="K7" s="18"/>
      <c r="L7" s="5" t="s">
        <v>159</v>
      </c>
      <c r="M7" s="5" t="s">
        <v>148</v>
      </c>
      <c r="N7" s="5" t="s">
        <v>114</v>
      </c>
      <c r="O7" s="5" t="s">
        <v>38</v>
      </c>
      <c r="P7" s="5" t="s">
        <v>38</v>
      </c>
      <c r="Q7" s="5" t="s">
        <v>38</v>
      </c>
      <c r="R7" s="5" t="s">
        <v>38</v>
      </c>
      <c r="S7" s="5" t="s">
        <v>38</v>
      </c>
      <c r="T7" s="18"/>
      <c r="U7" s="18"/>
      <c r="V7" s="18"/>
    </row>
    <row r="8" customFormat="false" ht="35.05" hidden="false" customHeight="false" outlineLevel="0" collapsed="false">
      <c r="A8" s="5" t="s">
        <v>160</v>
      </c>
      <c r="B8" s="5" t="s">
        <v>150</v>
      </c>
      <c r="C8" s="5" t="s">
        <v>153</v>
      </c>
      <c r="D8" s="5" t="s">
        <v>154</v>
      </c>
      <c r="E8" s="5" t="s">
        <v>155</v>
      </c>
      <c r="F8" s="5" t="s">
        <v>156</v>
      </c>
      <c r="G8" s="5" t="s">
        <v>157</v>
      </c>
      <c r="H8" s="5" t="s">
        <v>158</v>
      </c>
      <c r="I8" s="5" t="s">
        <v>145</v>
      </c>
      <c r="J8" s="5" t="s">
        <v>151</v>
      </c>
      <c r="K8" s="18"/>
      <c r="L8" s="5" t="s">
        <v>159</v>
      </c>
      <c r="M8" s="5" t="s">
        <v>148</v>
      </c>
      <c r="N8" s="5" t="s">
        <v>114</v>
      </c>
      <c r="O8" s="5" t="s">
        <v>38</v>
      </c>
      <c r="P8" s="5" t="s">
        <v>38</v>
      </c>
      <c r="Q8" s="5" t="s">
        <v>38</v>
      </c>
      <c r="R8" s="5" t="s">
        <v>38</v>
      </c>
      <c r="S8" s="5" t="s">
        <v>38</v>
      </c>
      <c r="T8" s="18"/>
      <c r="U8" s="18"/>
      <c r="V8" s="18"/>
    </row>
    <row r="9" customFormat="false" ht="46.25" hidden="false" customHeight="false" outlineLevel="0" collapsed="false">
      <c r="A9" s="5" t="s">
        <v>161</v>
      </c>
      <c r="B9" s="5" t="s">
        <v>139</v>
      </c>
      <c r="C9" s="5" t="s">
        <v>162</v>
      </c>
      <c r="D9" s="5" t="s">
        <v>163</v>
      </c>
      <c r="E9" s="5" t="s">
        <v>164</v>
      </c>
      <c r="F9" s="5" t="s">
        <v>165</v>
      </c>
      <c r="G9" s="5" t="s">
        <v>166</v>
      </c>
      <c r="H9" s="5" t="s">
        <v>167</v>
      </c>
      <c r="I9" s="5" t="s">
        <v>145</v>
      </c>
      <c r="J9" s="5" t="s">
        <v>146</v>
      </c>
      <c r="K9" s="18"/>
      <c r="L9" s="5" t="s">
        <v>168</v>
      </c>
      <c r="M9" s="5" t="s">
        <v>148</v>
      </c>
      <c r="N9" s="5" t="s">
        <v>114</v>
      </c>
      <c r="O9" s="5" t="s">
        <v>38</v>
      </c>
      <c r="P9" s="5" t="s">
        <v>38</v>
      </c>
      <c r="Q9" s="5" t="s">
        <v>38</v>
      </c>
      <c r="R9" s="5" t="s">
        <v>38</v>
      </c>
      <c r="S9" s="5" t="s">
        <v>38</v>
      </c>
      <c r="T9" s="18"/>
      <c r="U9" s="18"/>
      <c r="V9" s="18"/>
    </row>
    <row r="10" customFormat="false" ht="35.05" hidden="false" customHeight="false" outlineLevel="0" collapsed="false">
      <c r="A10" s="5" t="s">
        <v>169</v>
      </c>
      <c r="B10" s="5" t="s">
        <v>150</v>
      </c>
      <c r="C10" s="5" t="s">
        <v>162</v>
      </c>
      <c r="D10" s="5" t="s">
        <v>163</v>
      </c>
      <c r="E10" s="5" t="s">
        <v>164</v>
      </c>
      <c r="F10" s="5" t="s">
        <v>165</v>
      </c>
      <c r="G10" s="5" t="s">
        <v>166</v>
      </c>
      <c r="H10" s="5" t="s">
        <v>167</v>
      </c>
      <c r="I10" s="5" t="s">
        <v>145</v>
      </c>
      <c r="J10" s="5" t="s">
        <v>151</v>
      </c>
      <c r="K10" s="18"/>
      <c r="L10" s="5" t="s">
        <v>168</v>
      </c>
      <c r="M10" s="5" t="s">
        <v>148</v>
      </c>
      <c r="N10" s="5" t="s">
        <v>114</v>
      </c>
      <c r="O10" s="5" t="s">
        <v>38</v>
      </c>
      <c r="P10" s="5" t="s">
        <v>38</v>
      </c>
      <c r="Q10" s="5" t="s">
        <v>38</v>
      </c>
      <c r="R10" s="5" t="s">
        <v>38</v>
      </c>
      <c r="S10" s="5" t="s">
        <v>38</v>
      </c>
      <c r="T10" s="18"/>
      <c r="U10" s="18"/>
      <c r="V10" s="18"/>
    </row>
    <row r="11" customFormat="false" ht="46.25" hidden="false" customHeight="false" outlineLevel="0" collapsed="false">
      <c r="A11" s="5" t="s">
        <v>170</v>
      </c>
      <c r="B11" s="5" t="s">
        <v>139</v>
      </c>
      <c r="C11" s="5" t="s">
        <v>171</v>
      </c>
      <c r="D11" s="5" t="s">
        <v>154</v>
      </c>
      <c r="E11" s="5" t="s">
        <v>172</v>
      </c>
      <c r="F11" s="5" t="s">
        <v>173</v>
      </c>
      <c r="G11" s="5" t="s">
        <v>174</v>
      </c>
      <c r="H11" s="5" t="s">
        <v>175</v>
      </c>
      <c r="I11" s="5" t="s">
        <v>176</v>
      </c>
      <c r="J11" s="5" t="s">
        <v>146</v>
      </c>
      <c r="K11" s="18"/>
      <c r="L11" s="5" t="s">
        <v>177</v>
      </c>
      <c r="M11" s="5" t="s">
        <v>148</v>
      </c>
      <c r="N11" s="5" t="s">
        <v>114</v>
      </c>
      <c r="O11" s="5" t="s">
        <v>38</v>
      </c>
      <c r="P11" s="5" t="s">
        <v>38</v>
      </c>
      <c r="Q11" s="5" t="s">
        <v>38</v>
      </c>
      <c r="R11" s="5" t="s">
        <v>38</v>
      </c>
      <c r="S11" s="5" t="s">
        <v>38</v>
      </c>
      <c r="T11" s="18"/>
      <c r="U11" s="18"/>
      <c r="V11" s="18"/>
    </row>
    <row r="12" customFormat="false" ht="35.05" hidden="false" customHeight="false" outlineLevel="0" collapsed="false">
      <c r="A12" s="5" t="s">
        <v>178</v>
      </c>
      <c r="B12" s="5" t="s">
        <v>150</v>
      </c>
      <c r="C12" s="5" t="s">
        <v>171</v>
      </c>
      <c r="D12" s="5" t="s">
        <v>154</v>
      </c>
      <c r="E12" s="5" t="s">
        <v>172</v>
      </c>
      <c r="F12" s="5" t="s">
        <v>173</v>
      </c>
      <c r="G12" s="5" t="s">
        <v>174</v>
      </c>
      <c r="H12" s="5" t="s">
        <v>175</v>
      </c>
      <c r="I12" s="5" t="s">
        <v>176</v>
      </c>
      <c r="J12" s="5" t="s">
        <v>151</v>
      </c>
      <c r="K12" s="18"/>
      <c r="L12" s="5" t="s">
        <v>177</v>
      </c>
      <c r="M12" s="5" t="s">
        <v>148</v>
      </c>
      <c r="N12" s="5" t="s">
        <v>114</v>
      </c>
      <c r="O12" s="5" t="s">
        <v>38</v>
      </c>
      <c r="P12" s="5" t="s">
        <v>38</v>
      </c>
      <c r="Q12" s="5" t="s">
        <v>38</v>
      </c>
      <c r="R12" s="5" t="s">
        <v>38</v>
      </c>
      <c r="S12" s="5" t="s">
        <v>38</v>
      </c>
      <c r="T12" s="18"/>
      <c r="U12" s="18"/>
      <c r="V12" s="18"/>
    </row>
    <row r="13" customFormat="false" ht="46.25" hidden="false" customHeight="false" outlineLevel="0" collapsed="false">
      <c r="A13" s="5" t="s">
        <v>179</v>
      </c>
      <c r="B13" s="5" t="s">
        <v>139</v>
      </c>
      <c r="C13" s="5" t="s">
        <v>180</v>
      </c>
      <c r="D13" s="5" t="s">
        <v>181</v>
      </c>
      <c r="E13" s="5" t="s">
        <v>182</v>
      </c>
      <c r="F13" s="5" t="s">
        <v>183</v>
      </c>
      <c r="G13" s="5" t="s">
        <v>184</v>
      </c>
      <c r="H13" s="5" t="s">
        <v>185</v>
      </c>
      <c r="I13" s="5" t="s">
        <v>176</v>
      </c>
      <c r="J13" s="5" t="s">
        <v>146</v>
      </c>
      <c r="K13" s="18"/>
      <c r="L13" s="5" t="s">
        <v>186</v>
      </c>
      <c r="M13" s="5" t="s">
        <v>148</v>
      </c>
      <c r="N13" s="5" t="s">
        <v>114</v>
      </c>
      <c r="O13" s="5" t="s">
        <v>38</v>
      </c>
      <c r="P13" s="5" t="s">
        <v>38</v>
      </c>
      <c r="Q13" s="5" t="s">
        <v>38</v>
      </c>
      <c r="R13" s="5" t="s">
        <v>38</v>
      </c>
      <c r="S13" s="5" t="s">
        <v>38</v>
      </c>
      <c r="T13" s="18"/>
      <c r="U13" s="18"/>
      <c r="V13" s="18"/>
    </row>
    <row r="14" customFormat="false" ht="35.05" hidden="false" customHeight="false" outlineLevel="0" collapsed="false">
      <c r="A14" s="5" t="s">
        <v>187</v>
      </c>
      <c r="B14" s="5" t="s">
        <v>150</v>
      </c>
      <c r="C14" s="5" t="s">
        <v>180</v>
      </c>
      <c r="D14" s="5" t="s">
        <v>181</v>
      </c>
      <c r="E14" s="5" t="s">
        <v>182</v>
      </c>
      <c r="F14" s="5" t="s">
        <v>183</v>
      </c>
      <c r="G14" s="5" t="s">
        <v>184</v>
      </c>
      <c r="H14" s="5" t="s">
        <v>185</v>
      </c>
      <c r="I14" s="5" t="s">
        <v>176</v>
      </c>
      <c r="J14" s="5" t="s">
        <v>151</v>
      </c>
      <c r="K14" s="18"/>
      <c r="L14" s="5" t="s">
        <v>186</v>
      </c>
      <c r="M14" s="5" t="s">
        <v>148</v>
      </c>
      <c r="N14" s="5" t="s">
        <v>114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18"/>
      <c r="U14" s="18"/>
      <c r="V14" s="18"/>
    </row>
    <row r="15" customFormat="false" ht="46.25" hidden="false" customHeight="false" outlineLevel="0" collapsed="false">
      <c r="A15" s="5" t="s">
        <v>188</v>
      </c>
      <c r="B15" s="5" t="s">
        <v>139</v>
      </c>
      <c r="C15" s="5" t="s">
        <v>189</v>
      </c>
      <c r="D15" s="5" t="s">
        <v>190</v>
      </c>
      <c r="E15" s="5" t="s">
        <v>191</v>
      </c>
      <c r="F15" s="5" t="s">
        <v>192</v>
      </c>
      <c r="G15" s="5" t="s">
        <v>193</v>
      </c>
      <c r="H15" s="5" t="s">
        <v>194</v>
      </c>
      <c r="I15" s="5" t="s">
        <v>176</v>
      </c>
      <c r="J15" s="5" t="s">
        <v>146</v>
      </c>
      <c r="K15" s="18"/>
      <c r="L15" s="5" t="s">
        <v>195</v>
      </c>
      <c r="M15" s="5" t="s">
        <v>148</v>
      </c>
      <c r="N15" s="5" t="s">
        <v>114</v>
      </c>
      <c r="O15" s="5" t="s">
        <v>38</v>
      </c>
      <c r="P15" s="5" t="s">
        <v>38</v>
      </c>
      <c r="Q15" s="5" t="s">
        <v>38</v>
      </c>
      <c r="R15" s="5" t="s">
        <v>38</v>
      </c>
      <c r="S15" s="5" t="s">
        <v>38</v>
      </c>
      <c r="T15" s="18"/>
      <c r="U15" s="18"/>
      <c r="V15" s="18"/>
    </row>
    <row r="16" customFormat="false" ht="35.05" hidden="false" customHeight="false" outlineLevel="0" collapsed="false">
      <c r="A16" s="5" t="s">
        <v>196</v>
      </c>
      <c r="B16" s="5" t="s">
        <v>150</v>
      </c>
      <c r="C16" s="5" t="s">
        <v>189</v>
      </c>
      <c r="D16" s="5" t="s">
        <v>190</v>
      </c>
      <c r="E16" s="5" t="s">
        <v>191</v>
      </c>
      <c r="F16" s="5" t="s">
        <v>192</v>
      </c>
      <c r="G16" s="5" t="s">
        <v>193</v>
      </c>
      <c r="H16" s="5" t="s">
        <v>194</v>
      </c>
      <c r="I16" s="5" t="s">
        <v>176</v>
      </c>
      <c r="J16" s="5" t="s">
        <v>151</v>
      </c>
      <c r="K16" s="18"/>
      <c r="L16" s="5" t="s">
        <v>195</v>
      </c>
      <c r="M16" s="5" t="s">
        <v>148</v>
      </c>
      <c r="N16" s="5" t="s">
        <v>114</v>
      </c>
      <c r="O16" s="5" t="s">
        <v>38</v>
      </c>
      <c r="P16" s="5" t="s">
        <v>38</v>
      </c>
      <c r="Q16" s="5" t="s">
        <v>38</v>
      </c>
      <c r="R16" s="5" t="s">
        <v>38</v>
      </c>
      <c r="S16" s="5" t="s">
        <v>38</v>
      </c>
      <c r="T16" s="18"/>
      <c r="U16" s="18"/>
      <c r="V16" s="18"/>
    </row>
    <row r="17" customFormat="false" ht="46.25" hidden="false" customHeight="false" outlineLevel="0" collapsed="false">
      <c r="A17" s="5" t="s">
        <v>197</v>
      </c>
      <c r="B17" s="5" t="s">
        <v>139</v>
      </c>
      <c r="C17" s="5" t="s">
        <v>198</v>
      </c>
      <c r="D17" s="5" t="s">
        <v>199</v>
      </c>
      <c r="E17" s="5" t="s">
        <v>200</v>
      </c>
      <c r="F17" s="5" t="s">
        <v>201</v>
      </c>
      <c r="G17" s="5" t="s">
        <v>202</v>
      </c>
      <c r="H17" s="5" t="s">
        <v>203</v>
      </c>
      <c r="I17" s="5" t="s">
        <v>204</v>
      </c>
      <c r="J17" s="5" t="s">
        <v>146</v>
      </c>
      <c r="K17" s="18"/>
      <c r="L17" s="5" t="s">
        <v>205</v>
      </c>
      <c r="M17" s="5" t="s">
        <v>148</v>
      </c>
      <c r="N17" s="5" t="s">
        <v>114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18"/>
      <c r="U17" s="18"/>
      <c r="V17" s="18"/>
    </row>
    <row r="18" customFormat="false" ht="35.05" hidden="false" customHeight="false" outlineLevel="0" collapsed="false">
      <c r="A18" s="5" t="s">
        <v>206</v>
      </c>
      <c r="B18" s="5" t="s">
        <v>150</v>
      </c>
      <c r="C18" s="5" t="s">
        <v>198</v>
      </c>
      <c r="D18" s="5" t="s">
        <v>199</v>
      </c>
      <c r="E18" s="5" t="s">
        <v>200</v>
      </c>
      <c r="F18" s="5" t="s">
        <v>201</v>
      </c>
      <c r="G18" s="5" t="s">
        <v>202</v>
      </c>
      <c r="H18" s="5" t="s">
        <v>203</v>
      </c>
      <c r="I18" s="5" t="s">
        <v>204</v>
      </c>
      <c r="J18" s="5" t="s">
        <v>151</v>
      </c>
      <c r="K18" s="18"/>
      <c r="L18" s="5" t="s">
        <v>205</v>
      </c>
      <c r="M18" s="5" t="s">
        <v>148</v>
      </c>
      <c r="N18" s="5" t="s">
        <v>114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18"/>
      <c r="U18" s="18"/>
      <c r="V18" s="18"/>
    </row>
    <row r="19" customFormat="false" ht="46.25" hidden="false" customHeight="false" outlineLevel="0" collapsed="false">
      <c r="A19" s="5" t="s">
        <v>207</v>
      </c>
      <c r="B19" s="5" t="s">
        <v>139</v>
      </c>
      <c r="C19" s="5" t="s">
        <v>208</v>
      </c>
      <c r="D19" s="5" t="s">
        <v>209</v>
      </c>
      <c r="E19" s="5" t="s">
        <v>210</v>
      </c>
      <c r="F19" s="5" t="s">
        <v>211</v>
      </c>
      <c r="G19" s="5" t="s">
        <v>212</v>
      </c>
      <c r="H19" s="5" t="s">
        <v>213</v>
      </c>
      <c r="I19" s="5" t="s">
        <v>176</v>
      </c>
      <c r="J19" s="5" t="s">
        <v>146</v>
      </c>
      <c r="K19" s="18"/>
      <c r="L19" s="5" t="s">
        <v>214</v>
      </c>
      <c r="M19" s="5" t="s">
        <v>148</v>
      </c>
      <c r="N19" s="5" t="s">
        <v>114</v>
      </c>
      <c r="O19" s="5" t="s">
        <v>38</v>
      </c>
      <c r="P19" s="5" t="s">
        <v>38</v>
      </c>
      <c r="Q19" s="5" t="s">
        <v>38</v>
      </c>
      <c r="R19" s="5" t="s">
        <v>38</v>
      </c>
      <c r="S19" s="5" t="s">
        <v>38</v>
      </c>
      <c r="T19" s="18"/>
      <c r="U19" s="18"/>
      <c r="V19" s="18"/>
    </row>
    <row r="20" customFormat="false" ht="35.05" hidden="false" customHeight="false" outlineLevel="0" collapsed="false">
      <c r="A20" s="5" t="s">
        <v>215</v>
      </c>
      <c r="B20" s="5" t="s">
        <v>150</v>
      </c>
      <c r="C20" s="5" t="s">
        <v>208</v>
      </c>
      <c r="D20" s="5" t="s">
        <v>209</v>
      </c>
      <c r="E20" s="5" t="s">
        <v>210</v>
      </c>
      <c r="F20" s="5" t="s">
        <v>211</v>
      </c>
      <c r="G20" s="5" t="s">
        <v>212</v>
      </c>
      <c r="H20" s="5" t="s">
        <v>213</v>
      </c>
      <c r="I20" s="5" t="s">
        <v>176</v>
      </c>
      <c r="J20" s="5" t="s">
        <v>151</v>
      </c>
      <c r="K20" s="18"/>
      <c r="L20" s="5" t="s">
        <v>214</v>
      </c>
      <c r="M20" s="5" t="s">
        <v>148</v>
      </c>
      <c r="N20" s="5" t="s">
        <v>114</v>
      </c>
      <c r="O20" s="5" t="s">
        <v>38</v>
      </c>
      <c r="P20" s="5" t="s">
        <v>38</v>
      </c>
      <c r="Q20" s="5" t="s">
        <v>38</v>
      </c>
      <c r="R20" s="5" t="s">
        <v>38</v>
      </c>
      <c r="S20" s="5" t="s">
        <v>38</v>
      </c>
      <c r="T20" s="18"/>
      <c r="U20" s="18"/>
      <c r="V20" s="18"/>
    </row>
  </sheetData>
  <autoFilter ref="A4:V20"/>
  <conditionalFormatting sqref="O5:O20">
    <cfRule type="expression" priority="2" aboveAverage="0" equalAverage="0" bottom="0" percent="0" rank="0" text="" dxfId="7">
      <formula>O5="Not started"</formula>
    </cfRule>
    <cfRule type="expression" priority="3" aboveAverage="0" equalAverage="0" bottom="0" percent="0" rank="0" text="" dxfId="8">
      <formula>O5="In progress"</formula>
    </cfRule>
    <cfRule type="expression" priority="4" aboveAverage="0" equalAverage="0" bottom="0" percent="0" rank="0" text="" dxfId="9">
      <formula>O5="Review"</formula>
    </cfRule>
    <cfRule type="expression" priority="5" aboveAverage="0" equalAverage="0" bottom="0" percent="0" rank="0" text="" dxfId="10">
      <formula>O5="Approved"</formula>
    </cfRule>
    <cfRule type="expression" priority="6" aboveAverage="0" equalAverage="0" bottom="0" percent="0" rank="0" text="" dxfId="11">
      <formula>O5="Blocked"</formula>
    </cfRule>
    <cfRule type="expression" priority="7" aboveAverage="0" equalAverage="0" bottom="0" percent="0" rank="0" text="" dxfId="12">
      <formula>O5="N/A"</formula>
    </cfRule>
  </conditionalFormatting>
  <conditionalFormatting sqref="P5:P20">
    <cfRule type="expression" priority="8" aboveAverage="0" equalAverage="0" bottom="0" percent="0" rank="0" text="" dxfId="7">
      <formula>P5="Not started"</formula>
    </cfRule>
    <cfRule type="expression" priority="9" aboveAverage="0" equalAverage="0" bottom="0" percent="0" rank="0" text="" dxfId="8">
      <formula>P5="In progress"</formula>
    </cfRule>
    <cfRule type="expression" priority="10" aboveAverage="0" equalAverage="0" bottom="0" percent="0" rank="0" text="" dxfId="9">
      <formula>P5="Review"</formula>
    </cfRule>
    <cfRule type="expression" priority="11" aboveAverage="0" equalAverage="0" bottom="0" percent="0" rank="0" text="" dxfId="10">
      <formula>P5="Approved"</formula>
    </cfRule>
    <cfRule type="expression" priority="12" aboveAverage="0" equalAverage="0" bottom="0" percent="0" rank="0" text="" dxfId="11">
      <formula>P5="Blocked"</formula>
    </cfRule>
    <cfRule type="expression" priority="13" aboveAverage="0" equalAverage="0" bottom="0" percent="0" rank="0" text="" dxfId="12">
      <formula>P5="N/A"</formula>
    </cfRule>
  </conditionalFormatting>
  <conditionalFormatting sqref="Q5:Q20">
    <cfRule type="expression" priority="14" aboveAverage="0" equalAverage="0" bottom="0" percent="0" rank="0" text="" dxfId="7">
      <formula>Q5="Not started"</formula>
    </cfRule>
    <cfRule type="expression" priority="15" aboveAverage="0" equalAverage="0" bottom="0" percent="0" rank="0" text="" dxfId="8">
      <formula>Q5="In progress"</formula>
    </cfRule>
    <cfRule type="expression" priority="16" aboveAverage="0" equalAverage="0" bottom="0" percent="0" rank="0" text="" dxfId="9">
      <formula>Q5="Review"</formula>
    </cfRule>
    <cfRule type="expression" priority="17" aboveAverage="0" equalAverage="0" bottom="0" percent="0" rank="0" text="" dxfId="10">
      <formula>Q5="Approved"</formula>
    </cfRule>
    <cfRule type="expression" priority="18" aboveAverage="0" equalAverage="0" bottom="0" percent="0" rank="0" text="" dxfId="11">
      <formula>Q5="Blocked"</formula>
    </cfRule>
    <cfRule type="expression" priority="19" aboveAverage="0" equalAverage="0" bottom="0" percent="0" rank="0" text="" dxfId="12">
      <formula>Q5="N/A"</formula>
    </cfRule>
  </conditionalFormatting>
  <conditionalFormatting sqref="R5:R20">
    <cfRule type="expression" priority="20" aboveAverage="0" equalAverage="0" bottom="0" percent="0" rank="0" text="" dxfId="7">
      <formula>R5="Not started"</formula>
    </cfRule>
    <cfRule type="expression" priority="21" aboveAverage="0" equalAverage="0" bottom="0" percent="0" rank="0" text="" dxfId="8">
      <formula>R5="In progress"</formula>
    </cfRule>
    <cfRule type="expression" priority="22" aboveAverage="0" equalAverage="0" bottom="0" percent="0" rank="0" text="" dxfId="9">
      <formula>R5="Review"</formula>
    </cfRule>
    <cfRule type="expression" priority="23" aboveAverage="0" equalAverage="0" bottom="0" percent="0" rank="0" text="" dxfId="10">
      <formula>R5="Approved"</formula>
    </cfRule>
    <cfRule type="expression" priority="24" aboveAverage="0" equalAverage="0" bottom="0" percent="0" rank="0" text="" dxfId="11">
      <formula>R5="Blocked"</formula>
    </cfRule>
    <cfRule type="expression" priority="25" aboveAverage="0" equalAverage="0" bottom="0" percent="0" rank="0" text="" dxfId="12">
      <formula>R5="N/A"</formula>
    </cfRule>
  </conditionalFormatting>
  <conditionalFormatting sqref="S5:S20">
    <cfRule type="expression" priority="26" aboveAverage="0" equalAverage="0" bottom="0" percent="0" rank="0" text="" dxfId="7">
      <formula>S5="Not started"</formula>
    </cfRule>
    <cfRule type="expression" priority="27" aboveAverage="0" equalAverage="0" bottom="0" percent="0" rank="0" text="" dxfId="8">
      <formula>S5="In progress"</formula>
    </cfRule>
    <cfRule type="expression" priority="28" aboveAverage="0" equalAverage="0" bottom="0" percent="0" rank="0" text="" dxfId="9">
      <formula>S5="Review"</formula>
    </cfRule>
    <cfRule type="expression" priority="29" aboveAverage="0" equalAverage="0" bottom="0" percent="0" rank="0" text="" dxfId="10">
      <formula>S5="Approved"</formula>
    </cfRule>
    <cfRule type="expression" priority="30" aboveAverage="0" equalAverage="0" bottom="0" percent="0" rank="0" text="" dxfId="11">
      <formula>S5="Blocked"</formula>
    </cfRule>
    <cfRule type="expression" priority="31" aboveAverage="0" equalAverage="0" bottom="0" percent="0" rank="0" text="" dxfId="12">
      <formula>S5="N/A"</formula>
    </cfRule>
  </conditionalFormatting>
  <dataValidations count="5">
    <dataValidation allowBlank="true" errorStyle="stop" operator="between" showDropDown="false" showErrorMessage="false" showInputMessage="false" sqref="O5:O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R5:R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S5:S2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484D"/>
    <pageSetUpPr fitToPage="fals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5" min="15" style="0" width="30"/>
  </cols>
  <sheetData>
    <row r="1" customFormat="false" ht="25.5" hidden="false" customHeight="true" outlineLevel="0" collapsed="false">
      <c r="A1" s="1" t="s">
        <v>216</v>
      </c>
    </row>
    <row r="2" customFormat="false" ht="15" hidden="false" customHeight="false" outlineLevel="0" collapsed="false">
      <c r="A2" s="2" t="s">
        <v>217</v>
      </c>
    </row>
    <row r="4" customFormat="false" ht="31.5" hidden="false" customHeight="true" outlineLevel="0" collapsed="false">
      <c r="A4" s="4" t="s">
        <v>56</v>
      </c>
      <c r="B4" s="4" t="s">
        <v>128</v>
      </c>
      <c r="C4" s="4" t="s">
        <v>135</v>
      </c>
      <c r="D4" s="4" t="s">
        <v>218</v>
      </c>
      <c r="E4" s="4" t="s">
        <v>66</v>
      </c>
      <c r="F4" s="4" t="s">
        <v>65</v>
      </c>
      <c r="G4" s="4" t="s">
        <v>219</v>
      </c>
      <c r="H4" s="4" t="s">
        <v>68</v>
      </c>
      <c r="I4" s="4" t="s">
        <v>69</v>
      </c>
      <c r="J4" s="4" t="s">
        <v>70</v>
      </c>
      <c r="K4" s="4" t="s">
        <v>71</v>
      </c>
      <c r="L4" s="4" t="s">
        <v>72</v>
      </c>
      <c r="M4" s="4" t="s">
        <v>73</v>
      </c>
      <c r="N4" s="4" t="s">
        <v>75</v>
      </c>
      <c r="O4" s="4" t="s">
        <v>76</v>
      </c>
    </row>
    <row r="5" customFormat="false" ht="23.85" hidden="false" customHeight="false" outlineLevel="0" collapsed="false">
      <c r="A5" s="5" t="s">
        <v>220</v>
      </c>
      <c r="B5" s="5" t="s">
        <v>139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  <c r="H5" s="5" t="s">
        <v>38</v>
      </c>
      <c r="I5" s="5" t="s">
        <v>38</v>
      </c>
      <c r="J5" s="5" t="s">
        <v>38</v>
      </c>
      <c r="K5" s="5" t="s">
        <v>38</v>
      </c>
      <c r="L5" s="5" t="s">
        <v>38</v>
      </c>
      <c r="M5" s="18"/>
      <c r="N5" s="18"/>
      <c r="O5" s="18" t="s">
        <v>226</v>
      </c>
    </row>
    <row r="6" customFormat="false" ht="23.85" hidden="false" customHeight="false" outlineLevel="0" collapsed="false">
      <c r="A6" s="5" t="s">
        <v>227</v>
      </c>
      <c r="B6" s="5" t="s">
        <v>150</v>
      </c>
      <c r="C6" s="5" t="s">
        <v>228</v>
      </c>
      <c r="D6" s="5" t="s">
        <v>229</v>
      </c>
      <c r="E6" s="5" t="s">
        <v>223</v>
      </c>
      <c r="F6" s="5" t="s">
        <v>224</v>
      </c>
      <c r="G6" s="5" t="s">
        <v>230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18"/>
      <c r="N6" s="18"/>
      <c r="O6" s="18" t="s">
        <v>231</v>
      </c>
    </row>
    <row r="8" customFormat="false" ht="15" hidden="false" customHeight="false" outlineLevel="0" collapsed="false">
      <c r="A8" s="3" t="s">
        <v>232</v>
      </c>
    </row>
    <row r="9" customFormat="false" ht="31.5" hidden="false" customHeight="true" outlineLevel="0" collapsed="false">
      <c r="A9" s="4" t="s">
        <v>233</v>
      </c>
      <c r="B9" s="4" t="s">
        <v>234</v>
      </c>
      <c r="C9" s="4" t="s">
        <v>235</v>
      </c>
      <c r="D9" s="4" t="s">
        <v>236</v>
      </c>
      <c r="E9" s="4" t="s">
        <v>237</v>
      </c>
      <c r="F9" s="4" t="s">
        <v>238</v>
      </c>
      <c r="G9" s="4" t="s">
        <v>239</v>
      </c>
      <c r="H9" s="4" t="s">
        <v>240</v>
      </c>
      <c r="I9" s="4" t="s">
        <v>76</v>
      </c>
    </row>
    <row r="10" customFormat="false" ht="23.85" hidden="false" customHeight="false" outlineLevel="0" collapsed="false">
      <c r="A10" s="5" t="n">
        <v>1</v>
      </c>
      <c r="B10" s="5" t="s">
        <v>241</v>
      </c>
      <c r="C10" s="5" t="s">
        <v>242</v>
      </c>
      <c r="D10" s="5" t="s">
        <v>243</v>
      </c>
      <c r="E10" s="5" t="s">
        <v>244</v>
      </c>
      <c r="F10" s="5" t="s">
        <v>245</v>
      </c>
      <c r="G10" s="5" t="s">
        <v>246</v>
      </c>
      <c r="H10" s="5" t="s">
        <v>38</v>
      </c>
      <c r="I10" s="18"/>
    </row>
    <row r="11" customFormat="false" ht="15" hidden="false" customHeight="false" outlineLevel="0" collapsed="false">
      <c r="A11" s="5" t="n">
        <v>2</v>
      </c>
      <c r="B11" s="5" t="s">
        <v>247</v>
      </c>
      <c r="C11" s="5" t="s">
        <v>248</v>
      </c>
      <c r="D11" s="5" t="s">
        <v>249</v>
      </c>
      <c r="E11" s="5" t="s">
        <v>250</v>
      </c>
      <c r="F11" s="5" t="s">
        <v>145</v>
      </c>
      <c r="G11" s="5" t="s">
        <v>251</v>
      </c>
      <c r="H11" s="5" t="s">
        <v>38</v>
      </c>
      <c r="I11" s="18"/>
    </row>
    <row r="12" customFormat="false" ht="15" hidden="false" customHeight="false" outlineLevel="0" collapsed="false">
      <c r="A12" s="5" t="n">
        <v>3</v>
      </c>
      <c r="B12" s="5" t="s">
        <v>252</v>
      </c>
      <c r="C12" s="5" t="s">
        <v>253</v>
      </c>
      <c r="D12" s="5" t="s">
        <v>254</v>
      </c>
      <c r="E12" s="5" t="s">
        <v>255</v>
      </c>
      <c r="F12" s="5" t="s">
        <v>256</v>
      </c>
      <c r="G12" s="5" t="s">
        <v>257</v>
      </c>
      <c r="H12" s="5" t="s">
        <v>38</v>
      </c>
      <c r="I12" s="18"/>
    </row>
    <row r="13" customFormat="false" ht="15" hidden="false" customHeight="false" outlineLevel="0" collapsed="false">
      <c r="A13" s="5" t="n">
        <v>4</v>
      </c>
      <c r="B13" s="5" t="s">
        <v>258</v>
      </c>
      <c r="C13" s="5" t="s">
        <v>259</v>
      </c>
      <c r="D13" s="5" t="s">
        <v>260</v>
      </c>
      <c r="E13" s="5" t="s">
        <v>261</v>
      </c>
      <c r="F13" s="5" t="s">
        <v>204</v>
      </c>
      <c r="G13" s="5" t="s">
        <v>262</v>
      </c>
      <c r="H13" s="5" t="s">
        <v>38</v>
      </c>
      <c r="I13" s="18"/>
    </row>
    <row r="14" customFormat="false" ht="15" hidden="false" customHeight="false" outlineLevel="0" collapsed="false">
      <c r="A14" s="5" t="n">
        <v>5</v>
      </c>
      <c r="B14" s="5" t="s">
        <v>263</v>
      </c>
      <c r="C14" s="5" t="s">
        <v>264</v>
      </c>
      <c r="D14" s="5" t="s">
        <v>265</v>
      </c>
      <c r="E14" s="5" t="s">
        <v>266</v>
      </c>
      <c r="F14" s="5" t="s">
        <v>199</v>
      </c>
      <c r="G14" s="5" t="s">
        <v>267</v>
      </c>
      <c r="H14" s="5" t="s">
        <v>38</v>
      </c>
      <c r="I14" s="18"/>
    </row>
  </sheetData>
  <autoFilter ref="A9:I14"/>
  <conditionalFormatting sqref="H5:H6">
    <cfRule type="expression" priority="2" aboveAverage="0" equalAverage="0" bottom="0" percent="0" rank="0" text="" dxfId="7">
      <formula>H5="Not started"</formula>
    </cfRule>
    <cfRule type="expression" priority="3" aboveAverage="0" equalAverage="0" bottom="0" percent="0" rank="0" text="" dxfId="8">
      <formula>H5="In progress"</formula>
    </cfRule>
    <cfRule type="expression" priority="4" aboveAverage="0" equalAverage="0" bottom="0" percent="0" rank="0" text="" dxfId="9">
      <formula>H5="Review"</formula>
    </cfRule>
    <cfRule type="expression" priority="5" aboveAverage="0" equalAverage="0" bottom="0" percent="0" rank="0" text="" dxfId="10">
      <formula>H5="Approved"</formula>
    </cfRule>
    <cfRule type="expression" priority="6" aboveAverage="0" equalAverage="0" bottom="0" percent="0" rank="0" text="" dxfId="11">
      <formula>H5="Blocked"</formula>
    </cfRule>
    <cfRule type="expression" priority="7" aboveAverage="0" equalAverage="0" bottom="0" percent="0" rank="0" text="" dxfId="12">
      <formula>H5="N/A"</formula>
    </cfRule>
  </conditionalFormatting>
  <conditionalFormatting sqref="I5:I6">
    <cfRule type="expression" priority="8" aboveAverage="0" equalAverage="0" bottom="0" percent="0" rank="0" text="" dxfId="7">
      <formula>I5="Not started"</formula>
    </cfRule>
    <cfRule type="expression" priority="9" aboveAverage="0" equalAverage="0" bottom="0" percent="0" rank="0" text="" dxfId="8">
      <formula>I5="In progress"</formula>
    </cfRule>
    <cfRule type="expression" priority="10" aboveAverage="0" equalAverage="0" bottom="0" percent="0" rank="0" text="" dxfId="9">
      <formula>I5="Review"</formula>
    </cfRule>
    <cfRule type="expression" priority="11" aboveAverage="0" equalAverage="0" bottom="0" percent="0" rank="0" text="" dxfId="10">
      <formula>I5="Approved"</formula>
    </cfRule>
    <cfRule type="expression" priority="12" aboveAverage="0" equalAverage="0" bottom="0" percent="0" rank="0" text="" dxfId="11">
      <formula>I5="Blocked"</formula>
    </cfRule>
    <cfRule type="expression" priority="13" aboveAverage="0" equalAverage="0" bottom="0" percent="0" rank="0" text="" dxfId="12">
      <formula>I5="N/A"</formula>
    </cfRule>
  </conditionalFormatting>
  <conditionalFormatting sqref="J5:J6">
    <cfRule type="expression" priority="14" aboveAverage="0" equalAverage="0" bottom="0" percent="0" rank="0" text="" dxfId="7">
      <formula>J5="Not started"</formula>
    </cfRule>
    <cfRule type="expression" priority="15" aboveAverage="0" equalAverage="0" bottom="0" percent="0" rank="0" text="" dxfId="8">
      <formula>J5="In progress"</formula>
    </cfRule>
    <cfRule type="expression" priority="16" aboveAverage="0" equalAverage="0" bottom="0" percent="0" rank="0" text="" dxfId="9">
      <formula>J5="Review"</formula>
    </cfRule>
    <cfRule type="expression" priority="17" aboveAverage="0" equalAverage="0" bottom="0" percent="0" rank="0" text="" dxfId="10">
      <formula>J5="Approved"</formula>
    </cfRule>
    <cfRule type="expression" priority="18" aboveAverage="0" equalAverage="0" bottom="0" percent="0" rank="0" text="" dxfId="11">
      <formula>J5="Blocked"</formula>
    </cfRule>
    <cfRule type="expression" priority="19" aboveAverage="0" equalAverage="0" bottom="0" percent="0" rank="0" text="" dxfId="12">
      <formula>J5="N/A"</formula>
    </cfRule>
  </conditionalFormatting>
  <conditionalFormatting sqref="K5:K6">
    <cfRule type="expression" priority="20" aboveAverage="0" equalAverage="0" bottom="0" percent="0" rank="0" text="" dxfId="7">
      <formula>K5="Not started"</formula>
    </cfRule>
    <cfRule type="expression" priority="21" aboveAverage="0" equalAverage="0" bottom="0" percent="0" rank="0" text="" dxfId="8">
      <formula>K5="In progress"</formula>
    </cfRule>
    <cfRule type="expression" priority="22" aboveAverage="0" equalAverage="0" bottom="0" percent="0" rank="0" text="" dxfId="9">
      <formula>K5="Review"</formula>
    </cfRule>
    <cfRule type="expression" priority="23" aboveAverage="0" equalAverage="0" bottom="0" percent="0" rank="0" text="" dxfId="10">
      <formula>K5="Approved"</formula>
    </cfRule>
    <cfRule type="expression" priority="24" aboveAverage="0" equalAverage="0" bottom="0" percent="0" rank="0" text="" dxfId="11">
      <formula>K5="Blocked"</formula>
    </cfRule>
    <cfRule type="expression" priority="25" aboveAverage="0" equalAverage="0" bottom="0" percent="0" rank="0" text="" dxfId="12">
      <formula>K5="N/A"</formula>
    </cfRule>
  </conditionalFormatting>
  <conditionalFormatting sqref="L5:L6">
    <cfRule type="expression" priority="26" aboveAverage="0" equalAverage="0" bottom="0" percent="0" rank="0" text="" dxfId="7">
      <formula>L5="Not started"</formula>
    </cfRule>
    <cfRule type="expression" priority="27" aboveAverage="0" equalAverage="0" bottom="0" percent="0" rank="0" text="" dxfId="8">
      <formula>L5="In progress"</formula>
    </cfRule>
    <cfRule type="expression" priority="28" aboveAverage="0" equalAverage="0" bottom="0" percent="0" rank="0" text="" dxfId="9">
      <formula>L5="Review"</formula>
    </cfRule>
    <cfRule type="expression" priority="29" aboveAverage="0" equalAverage="0" bottom="0" percent="0" rank="0" text="" dxfId="10">
      <formula>L5="Approved"</formula>
    </cfRule>
    <cfRule type="expression" priority="30" aboveAverage="0" equalAverage="0" bottom="0" percent="0" rank="0" text="" dxfId="11">
      <formula>L5="Blocked"</formula>
    </cfRule>
    <cfRule type="expression" priority="31" aboveAverage="0" equalAverage="0" bottom="0" percent="0" rank="0" text="" dxfId="12">
      <formula>L5="N/A"</formula>
    </cfRule>
  </conditionalFormatting>
  <conditionalFormatting sqref="H10:H14">
    <cfRule type="expression" priority="32" aboveAverage="0" equalAverage="0" bottom="0" percent="0" rank="0" text="" dxfId="7">
      <formula>H10="Not started"</formula>
    </cfRule>
    <cfRule type="expression" priority="33" aboveAverage="0" equalAverage="0" bottom="0" percent="0" rank="0" text="" dxfId="8">
      <formula>H10="In progress"</formula>
    </cfRule>
    <cfRule type="expression" priority="34" aboveAverage="0" equalAverage="0" bottom="0" percent="0" rank="0" text="" dxfId="9">
      <formula>H10="Review"</formula>
    </cfRule>
    <cfRule type="expression" priority="35" aboveAverage="0" equalAverage="0" bottom="0" percent="0" rank="0" text="" dxfId="10">
      <formula>H10="Approved"</formula>
    </cfRule>
    <cfRule type="expression" priority="36" aboveAverage="0" equalAverage="0" bottom="0" percent="0" rank="0" text="" dxfId="11">
      <formula>H10="Blocked"</formula>
    </cfRule>
    <cfRule type="expression" priority="37" aboveAverage="0" equalAverage="0" bottom="0" percent="0" rank="0" text="" dxfId="12">
      <formula>H10="N/A"</formula>
    </cfRule>
  </conditionalFormatting>
  <dataValidations count="6">
    <dataValidation allowBlank="true" errorStyle="stop" operator="between" showDropDown="false" showErrorMessage="false" showInputMessage="false" sqref="H5:H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I5:I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J5:J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K5:K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L5:L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H10:H14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410C"/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60"/>
    <col collapsed="false" customWidth="true" hidden="false" outlineLevel="0" max="7" min="7" style="0" width="46"/>
    <col collapsed="false" customWidth="true" hidden="false" outlineLevel="0" max="8" min="8" style="0" width="30"/>
    <col collapsed="false" customWidth="true" hidden="false" outlineLevel="0" max="9" min="9" style="0" width="52"/>
    <col collapsed="false" customWidth="true" hidden="false" outlineLevel="0" max="10" min="10" style="0" width="13"/>
    <col collapsed="false" customWidth="true" hidden="false" outlineLevel="0" max="11" min="11" style="0" width="30"/>
  </cols>
  <sheetData>
    <row r="1" customFormat="false" ht="25.5" hidden="false" customHeight="true" outlineLevel="0" collapsed="false">
      <c r="A1" s="1" t="s">
        <v>268</v>
      </c>
    </row>
    <row r="2" customFormat="false" ht="15" hidden="false" customHeight="false" outlineLevel="0" collapsed="false">
      <c r="A2" s="2" t="s">
        <v>269</v>
      </c>
    </row>
    <row r="4" customFormat="false" ht="31.5" hidden="false" customHeight="true" outlineLevel="0" collapsed="false">
      <c r="A4" s="4" t="s">
        <v>56</v>
      </c>
      <c r="B4" s="4" t="s">
        <v>270</v>
      </c>
      <c r="C4" s="4" t="s">
        <v>128</v>
      </c>
      <c r="D4" s="4" t="s">
        <v>66</v>
      </c>
      <c r="E4" s="4" t="s">
        <v>271</v>
      </c>
      <c r="F4" s="4" t="s">
        <v>272</v>
      </c>
      <c r="G4" s="4" t="s">
        <v>273</v>
      </c>
      <c r="H4" s="4" t="s">
        <v>274</v>
      </c>
      <c r="I4" s="4" t="s">
        <v>275</v>
      </c>
      <c r="J4" s="4" t="s">
        <v>276</v>
      </c>
      <c r="K4" s="4" t="s">
        <v>76</v>
      </c>
    </row>
    <row r="5" customFormat="false" ht="337.5" hidden="false" customHeight="true" outlineLevel="0" collapsed="false">
      <c r="A5" s="5" t="s">
        <v>91</v>
      </c>
      <c r="B5" s="5" t="s">
        <v>277</v>
      </c>
      <c r="C5" s="5" t="s">
        <v>278</v>
      </c>
      <c r="D5" s="5" t="s">
        <v>98</v>
      </c>
      <c r="E5" s="5" t="n">
        <v>120</v>
      </c>
      <c r="F5" s="5" t="s">
        <v>279</v>
      </c>
      <c r="G5" s="5" t="s">
        <v>280</v>
      </c>
      <c r="H5" s="5" t="s">
        <v>281</v>
      </c>
      <c r="I5" s="5" t="s">
        <v>282</v>
      </c>
      <c r="J5" s="5" t="s">
        <v>38</v>
      </c>
      <c r="K5" s="18" t="s">
        <v>283</v>
      </c>
    </row>
    <row r="6" customFormat="false" ht="298.5" hidden="false" customHeight="true" outlineLevel="0" collapsed="false">
      <c r="A6" s="5" t="s">
        <v>101</v>
      </c>
      <c r="B6" s="5" t="s">
        <v>284</v>
      </c>
      <c r="C6" s="5" t="s">
        <v>278</v>
      </c>
      <c r="D6" s="5" t="s">
        <v>109</v>
      </c>
      <c r="E6" s="5" t="n">
        <v>140</v>
      </c>
      <c r="F6" s="5" t="s">
        <v>285</v>
      </c>
      <c r="G6" s="5" t="s">
        <v>286</v>
      </c>
      <c r="H6" s="5" t="s">
        <v>281</v>
      </c>
      <c r="I6" s="5" t="s">
        <v>287</v>
      </c>
      <c r="J6" s="5" t="s">
        <v>38</v>
      </c>
      <c r="K6" s="18" t="s">
        <v>288</v>
      </c>
    </row>
    <row r="7" customFormat="false" ht="39" hidden="false" customHeight="true" outlineLevel="0" collapsed="false">
      <c r="A7" s="5" t="s">
        <v>112</v>
      </c>
      <c r="B7" s="5" t="s">
        <v>289</v>
      </c>
      <c r="C7" s="5" t="s">
        <v>278</v>
      </c>
      <c r="D7" s="5" t="s">
        <v>114</v>
      </c>
      <c r="E7" s="5"/>
      <c r="F7" s="5" t="s">
        <v>290</v>
      </c>
      <c r="G7" s="5"/>
      <c r="H7" s="5" t="s">
        <v>281</v>
      </c>
      <c r="I7" s="5" t="s">
        <v>291</v>
      </c>
      <c r="J7" s="5" t="s">
        <v>38</v>
      </c>
      <c r="K7" s="18" t="s">
        <v>292</v>
      </c>
    </row>
    <row r="8" customFormat="false" ht="39" hidden="false" customHeight="true" outlineLevel="0" collapsed="false">
      <c r="A8" s="5" t="s">
        <v>116</v>
      </c>
      <c r="B8" s="5" t="s">
        <v>289</v>
      </c>
      <c r="C8" s="5" t="s">
        <v>278</v>
      </c>
      <c r="D8" s="5" t="s">
        <v>114</v>
      </c>
      <c r="E8" s="5"/>
      <c r="F8" s="5" t="s">
        <v>290</v>
      </c>
      <c r="G8" s="5"/>
      <c r="H8" s="5" t="s">
        <v>281</v>
      </c>
      <c r="I8" s="5" t="s">
        <v>291</v>
      </c>
      <c r="J8" s="5" t="s">
        <v>38</v>
      </c>
      <c r="K8" s="18" t="s">
        <v>292</v>
      </c>
    </row>
    <row r="9" customFormat="false" ht="39" hidden="false" customHeight="true" outlineLevel="0" collapsed="false">
      <c r="A9" s="5" t="s">
        <v>118</v>
      </c>
      <c r="B9" s="5" t="s">
        <v>289</v>
      </c>
      <c r="C9" s="5" t="s">
        <v>278</v>
      </c>
      <c r="D9" s="5" t="s">
        <v>114</v>
      </c>
      <c r="E9" s="5"/>
      <c r="F9" s="5" t="s">
        <v>290</v>
      </c>
      <c r="G9" s="5"/>
      <c r="H9" s="5" t="s">
        <v>281</v>
      </c>
      <c r="I9" s="5" t="s">
        <v>291</v>
      </c>
      <c r="J9" s="5" t="s">
        <v>38</v>
      </c>
      <c r="K9" s="18" t="s">
        <v>292</v>
      </c>
    </row>
    <row r="10" customFormat="false" ht="39" hidden="false" customHeight="true" outlineLevel="0" collapsed="false">
      <c r="A10" s="5" t="s">
        <v>120</v>
      </c>
      <c r="B10" s="5" t="s">
        <v>289</v>
      </c>
      <c r="C10" s="5" t="s">
        <v>278</v>
      </c>
      <c r="D10" s="5" t="s">
        <v>114</v>
      </c>
      <c r="E10" s="5"/>
      <c r="F10" s="5" t="s">
        <v>290</v>
      </c>
      <c r="G10" s="5"/>
      <c r="H10" s="5" t="s">
        <v>281</v>
      </c>
      <c r="I10" s="5" t="s">
        <v>291</v>
      </c>
      <c r="J10" s="5" t="s">
        <v>38</v>
      </c>
      <c r="K10" s="18" t="s">
        <v>292</v>
      </c>
    </row>
    <row r="11" customFormat="false" ht="39" hidden="false" customHeight="true" outlineLevel="0" collapsed="false">
      <c r="A11" s="5" t="s">
        <v>122</v>
      </c>
      <c r="B11" s="5" t="s">
        <v>289</v>
      </c>
      <c r="C11" s="5" t="s">
        <v>278</v>
      </c>
      <c r="D11" s="5" t="s">
        <v>114</v>
      </c>
      <c r="E11" s="5"/>
      <c r="F11" s="5" t="s">
        <v>290</v>
      </c>
      <c r="G11" s="5"/>
      <c r="H11" s="5" t="s">
        <v>281</v>
      </c>
      <c r="I11" s="5" t="s">
        <v>291</v>
      </c>
      <c r="J11" s="5" t="s">
        <v>38</v>
      </c>
      <c r="K11" s="18" t="s">
        <v>292</v>
      </c>
    </row>
    <row r="12" customFormat="false" ht="39" hidden="false" customHeight="true" outlineLevel="0" collapsed="false">
      <c r="A12" s="5" t="s">
        <v>124</v>
      </c>
      <c r="B12" s="5" t="s">
        <v>289</v>
      </c>
      <c r="C12" s="5" t="s">
        <v>278</v>
      </c>
      <c r="D12" s="5" t="s">
        <v>114</v>
      </c>
      <c r="E12" s="5"/>
      <c r="F12" s="5" t="s">
        <v>290</v>
      </c>
      <c r="G12" s="5"/>
      <c r="H12" s="5" t="s">
        <v>281</v>
      </c>
      <c r="I12" s="5" t="s">
        <v>291</v>
      </c>
      <c r="J12" s="5" t="s">
        <v>38</v>
      </c>
      <c r="K12" s="18" t="s">
        <v>292</v>
      </c>
    </row>
    <row r="13" customFormat="false" ht="168.75" hidden="false" customHeight="true" outlineLevel="0" collapsed="false">
      <c r="A13" s="5" t="s">
        <v>138</v>
      </c>
      <c r="B13" s="5" t="s">
        <v>140</v>
      </c>
      <c r="C13" s="5" t="s">
        <v>293</v>
      </c>
      <c r="D13" s="5" t="s">
        <v>114</v>
      </c>
      <c r="E13" s="5"/>
      <c r="F13" s="5" t="s">
        <v>294</v>
      </c>
      <c r="G13" s="5" t="s">
        <v>295</v>
      </c>
      <c r="H13" s="5" t="s">
        <v>296</v>
      </c>
      <c r="I13" s="5" t="s">
        <v>297</v>
      </c>
      <c r="J13" s="5" t="s">
        <v>38</v>
      </c>
      <c r="K13" s="18" t="s">
        <v>298</v>
      </c>
    </row>
    <row r="14" customFormat="false" ht="298.5" hidden="false" customHeight="true" outlineLevel="0" collapsed="false">
      <c r="A14" s="5" t="s">
        <v>149</v>
      </c>
      <c r="B14" s="5" t="s">
        <v>140</v>
      </c>
      <c r="C14" s="5" t="s">
        <v>299</v>
      </c>
      <c r="D14" s="5" t="s">
        <v>114</v>
      </c>
      <c r="E14" s="5"/>
      <c r="F14" s="5" t="s">
        <v>300</v>
      </c>
      <c r="G14" s="5" t="s">
        <v>301</v>
      </c>
      <c r="H14" s="5" t="s">
        <v>281</v>
      </c>
      <c r="I14" s="5" t="s">
        <v>302</v>
      </c>
      <c r="J14" s="5" t="s">
        <v>38</v>
      </c>
      <c r="K14" s="18" t="s">
        <v>303</v>
      </c>
    </row>
    <row r="15" customFormat="false" ht="156" hidden="false" customHeight="true" outlineLevel="0" collapsed="false">
      <c r="A15" s="5" t="s">
        <v>152</v>
      </c>
      <c r="B15" s="5" t="s">
        <v>153</v>
      </c>
      <c r="C15" s="5" t="s">
        <v>293</v>
      </c>
      <c r="D15" s="5" t="s">
        <v>114</v>
      </c>
      <c r="E15" s="5"/>
      <c r="F15" s="5" t="s">
        <v>304</v>
      </c>
      <c r="G15" s="5" t="s">
        <v>305</v>
      </c>
      <c r="H15" s="5" t="s">
        <v>296</v>
      </c>
      <c r="I15" s="5" t="s">
        <v>306</v>
      </c>
      <c r="J15" s="5" t="s">
        <v>38</v>
      </c>
      <c r="K15" s="18" t="s">
        <v>298</v>
      </c>
    </row>
    <row r="16" customFormat="false" ht="298.5" hidden="false" customHeight="true" outlineLevel="0" collapsed="false">
      <c r="A16" s="5" t="s">
        <v>160</v>
      </c>
      <c r="B16" s="5" t="s">
        <v>153</v>
      </c>
      <c r="C16" s="5" t="s">
        <v>299</v>
      </c>
      <c r="D16" s="5" t="s">
        <v>114</v>
      </c>
      <c r="E16" s="5"/>
      <c r="F16" s="5" t="s">
        <v>307</v>
      </c>
      <c r="G16" s="5" t="s">
        <v>308</v>
      </c>
      <c r="H16" s="5" t="s">
        <v>281</v>
      </c>
      <c r="I16" s="5" t="s">
        <v>309</v>
      </c>
      <c r="J16" s="5" t="s">
        <v>38</v>
      </c>
      <c r="K16" s="18" t="s">
        <v>303</v>
      </c>
    </row>
    <row r="17" customFormat="false" ht="156" hidden="false" customHeight="true" outlineLevel="0" collapsed="false">
      <c r="A17" s="5" t="s">
        <v>161</v>
      </c>
      <c r="B17" s="5" t="s">
        <v>162</v>
      </c>
      <c r="C17" s="5" t="s">
        <v>293</v>
      </c>
      <c r="D17" s="5" t="s">
        <v>114</v>
      </c>
      <c r="E17" s="5"/>
      <c r="F17" s="5" t="s">
        <v>310</v>
      </c>
      <c r="G17" s="5" t="s">
        <v>311</v>
      </c>
      <c r="H17" s="5" t="s">
        <v>296</v>
      </c>
      <c r="I17" s="5" t="s">
        <v>312</v>
      </c>
      <c r="J17" s="5" t="s">
        <v>38</v>
      </c>
      <c r="K17" s="18" t="s">
        <v>298</v>
      </c>
    </row>
    <row r="18" customFormat="false" ht="298.5" hidden="false" customHeight="true" outlineLevel="0" collapsed="false">
      <c r="A18" s="5" t="s">
        <v>169</v>
      </c>
      <c r="B18" s="5" t="s">
        <v>162</v>
      </c>
      <c r="C18" s="5" t="s">
        <v>299</v>
      </c>
      <c r="D18" s="5" t="s">
        <v>114</v>
      </c>
      <c r="E18" s="5"/>
      <c r="F18" s="5" t="s">
        <v>313</v>
      </c>
      <c r="G18" s="5" t="s">
        <v>314</v>
      </c>
      <c r="H18" s="5" t="s">
        <v>281</v>
      </c>
      <c r="I18" s="5" t="s">
        <v>315</v>
      </c>
      <c r="J18" s="5" t="s">
        <v>38</v>
      </c>
      <c r="K18" s="18" t="s">
        <v>303</v>
      </c>
    </row>
    <row r="19" customFormat="false" ht="156" hidden="false" customHeight="true" outlineLevel="0" collapsed="false">
      <c r="A19" s="5" t="s">
        <v>170</v>
      </c>
      <c r="B19" s="5" t="s">
        <v>171</v>
      </c>
      <c r="C19" s="5" t="s">
        <v>293</v>
      </c>
      <c r="D19" s="5" t="s">
        <v>114</v>
      </c>
      <c r="E19" s="5"/>
      <c r="F19" s="5" t="s">
        <v>316</v>
      </c>
      <c r="G19" s="5" t="s">
        <v>317</v>
      </c>
      <c r="H19" s="5" t="s">
        <v>296</v>
      </c>
      <c r="I19" s="5" t="s">
        <v>318</v>
      </c>
      <c r="J19" s="5" t="s">
        <v>38</v>
      </c>
      <c r="K19" s="18" t="s">
        <v>298</v>
      </c>
    </row>
    <row r="20" customFormat="false" ht="298.5" hidden="false" customHeight="true" outlineLevel="0" collapsed="false">
      <c r="A20" s="5" t="s">
        <v>178</v>
      </c>
      <c r="B20" s="5" t="s">
        <v>171</v>
      </c>
      <c r="C20" s="5" t="s">
        <v>299</v>
      </c>
      <c r="D20" s="5" t="s">
        <v>114</v>
      </c>
      <c r="E20" s="5"/>
      <c r="F20" s="5" t="s">
        <v>319</v>
      </c>
      <c r="G20" s="5" t="s">
        <v>320</v>
      </c>
      <c r="H20" s="5" t="s">
        <v>281</v>
      </c>
      <c r="I20" s="5" t="s">
        <v>321</v>
      </c>
      <c r="J20" s="5" t="s">
        <v>38</v>
      </c>
      <c r="K20" s="18" t="s">
        <v>303</v>
      </c>
    </row>
    <row r="21" customFormat="false" ht="156" hidden="false" customHeight="true" outlineLevel="0" collapsed="false">
      <c r="A21" s="5" t="s">
        <v>179</v>
      </c>
      <c r="B21" s="5" t="s">
        <v>180</v>
      </c>
      <c r="C21" s="5" t="s">
        <v>293</v>
      </c>
      <c r="D21" s="5" t="s">
        <v>114</v>
      </c>
      <c r="E21" s="5"/>
      <c r="F21" s="5" t="s">
        <v>322</v>
      </c>
      <c r="G21" s="5" t="s">
        <v>323</v>
      </c>
      <c r="H21" s="5" t="s">
        <v>296</v>
      </c>
      <c r="I21" s="5" t="s">
        <v>324</v>
      </c>
      <c r="J21" s="5" t="s">
        <v>38</v>
      </c>
      <c r="K21" s="18" t="s">
        <v>298</v>
      </c>
    </row>
    <row r="22" customFormat="false" ht="298.5" hidden="false" customHeight="true" outlineLevel="0" collapsed="false">
      <c r="A22" s="5" t="s">
        <v>187</v>
      </c>
      <c r="B22" s="5" t="s">
        <v>180</v>
      </c>
      <c r="C22" s="5" t="s">
        <v>299</v>
      </c>
      <c r="D22" s="5" t="s">
        <v>114</v>
      </c>
      <c r="E22" s="5"/>
      <c r="F22" s="5" t="s">
        <v>325</v>
      </c>
      <c r="G22" s="5" t="s">
        <v>326</v>
      </c>
      <c r="H22" s="5" t="s">
        <v>281</v>
      </c>
      <c r="I22" s="5" t="s">
        <v>327</v>
      </c>
      <c r="J22" s="5" t="s">
        <v>38</v>
      </c>
      <c r="K22" s="18" t="s">
        <v>303</v>
      </c>
    </row>
    <row r="23" customFormat="false" ht="156" hidden="false" customHeight="true" outlineLevel="0" collapsed="false">
      <c r="A23" s="5" t="s">
        <v>188</v>
      </c>
      <c r="B23" s="5" t="s">
        <v>189</v>
      </c>
      <c r="C23" s="5" t="s">
        <v>293</v>
      </c>
      <c r="D23" s="5" t="s">
        <v>114</v>
      </c>
      <c r="E23" s="5"/>
      <c r="F23" s="5" t="s">
        <v>328</v>
      </c>
      <c r="G23" s="5" t="s">
        <v>329</v>
      </c>
      <c r="H23" s="5" t="s">
        <v>296</v>
      </c>
      <c r="I23" s="5" t="s">
        <v>330</v>
      </c>
      <c r="J23" s="5" t="s">
        <v>38</v>
      </c>
      <c r="K23" s="18" t="s">
        <v>298</v>
      </c>
    </row>
    <row r="24" customFormat="false" ht="298.5" hidden="false" customHeight="true" outlineLevel="0" collapsed="false">
      <c r="A24" s="5" t="s">
        <v>196</v>
      </c>
      <c r="B24" s="5" t="s">
        <v>189</v>
      </c>
      <c r="C24" s="5" t="s">
        <v>299</v>
      </c>
      <c r="D24" s="5" t="s">
        <v>114</v>
      </c>
      <c r="E24" s="5"/>
      <c r="F24" s="5" t="s">
        <v>331</v>
      </c>
      <c r="G24" s="5" t="s">
        <v>332</v>
      </c>
      <c r="H24" s="5" t="s">
        <v>281</v>
      </c>
      <c r="I24" s="5" t="s">
        <v>333</v>
      </c>
      <c r="J24" s="5" t="s">
        <v>38</v>
      </c>
      <c r="K24" s="18" t="s">
        <v>303</v>
      </c>
    </row>
    <row r="25" customFormat="false" ht="156" hidden="false" customHeight="true" outlineLevel="0" collapsed="false">
      <c r="A25" s="5" t="s">
        <v>197</v>
      </c>
      <c r="B25" s="5" t="s">
        <v>198</v>
      </c>
      <c r="C25" s="5" t="s">
        <v>293</v>
      </c>
      <c r="D25" s="5" t="s">
        <v>114</v>
      </c>
      <c r="E25" s="5"/>
      <c r="F25" s="5" t="s">
        <v>334</v>
      </c>
      <c r="G25" s="5" t="s">
        <v>335</v>
      </c>
      <c r="H25" s="5" t="s">
        <v>296</v>
      </c>
      <c r="I25" s="5" t="s">
        <v>336</v>
      </c>
      <c r="J25" s="5" t="s">
        <v>38</v>
      </c>
      <c r="K25" s="18" t="s">
        <v>298</v>
      </c>
    </row>
    <row r="26" customFormat="false" ht="298.5" hidden="false" customHeight="true" outlineLevel="0" collapsed="false">
      <c r="A26" s="5" t="s">
        <v>206</v>
      </c>
      <c r="B26" s="5" t="s">
        <v>198</v>
      </c>
      <c r="C26" s="5" t="s">
        <v>299</v>
      </c>
      <c r="D26" s="5" t="s">
        <v>114</v>
      </c>
      <c r="E26" s="5"/>
      <c r="F26" s="5" t="s">
        <v>337</v>
      </c>
      <c r="G26" s="5" t="s">
        <v>338</v>
      </c>
      <c r="H26" s="5" t="s">
        <v>281</v>
      </c>
      <c r="I26" s="5" t="s">
        <v>339</v>
      </c>
      <c r="J26" s="5" t="s">
        <v>38</v>
      </c>
      <c r="K26" s="18" t="s">
        <v>303</v>
      </c>
    </row>
    <row r="27" customFormat="false" ht="156" hidden="false" customHeight="true" outlineLevel="0" collapsed="false">
      <c r="A27" s="5" t="s">
        <v>207</v>
      </c>
      <c r="B27" s="5" t="s">
        <v>208</v>
      </c>
      <c r="C27" s="5" t="s">
        <v>293</v>
      </c>
      <c r="D27" s="5" t="s">
        <v>114</v>
      </c>
      <c r="E27" s="5"/>
      <c r="F27" s="5" t="s">
        <v>340</v>
      </c>
      <c r="G27" s="5" t="s">
        <v>341</v>
      </c>
      <c r="H27" s="5" t="s">
        <v>296</v>
      </c>
      <c r="I27" s="5" t="s">
        <v>342</v>
      </c>
      <c r="J27" s="5" t="s">
        <v>38</v>
      </c>
      <c r="K27" s="18" t="s">
        <v>298</v>
      </c>
    </row>
    <row r="28" customFormat="false" ht="298.5" hidden="false" customHeight="true" outlineLevel="0" collapsed="false">
      <c r="A28" s="5" t="s">
        <v>215</v>
      </c>
      <c r="B28" s="5" t="s">
        <v>208</v>
      </c>
      <c r="C28" s="5" t="s">
        <v>299</v>
      </c>
      <c r="D28" s="5" t="s">
        <v>114</v>
      </c>
      <c r="E28" s="5"/>
      <c r="F28" s="5" t="s">
        <v>343</v>
      </c>
      <c r="G28" s="5" t="s">
        <v>344</v>
      </c>
      <c r="H28" s="5" t="s">
        <v>281</v>
      </c>
      <c r="I28" s="5" t="s">
        <v>345</v>
      </c>
      <c r="J28" s="5" t="s">
        <v>38</v>
      </c>
      <c r="K28" s="18" t="s">
        <v>303</v>
      </c>
    </row>
    <row r="29" customFormat="false" ht="195" hidden="false" customHeight="true" outlineLevel="0" collapsed="false">
      <c r="A29" s="5" t="s">
        <v>220</v>
      </c>
      <c r="B29" s="5" t="s">
        <v>346</v>
      </c>
      <c r="C29" s="5" t="s">
        <v>293</v>
      </c>
      <c r="D29" s="5" t="s">
        <v>347</v>
      </c>
      <c r="E29" s="5" t="n">
        <v>90</v>
      </c>
      <c r="F29" s="5" t="s">
        <v>348</v>
      </c>
      <c r="G29" s="5" t="s">
        <v>349</v>
      </c>
      <c r="H29" s="5" t="s">
        <v>296</v>
      </c>
      <c r="I29" s="5" t="s">
        <v>350</v>
      </c>
      <c r="J29" s="5" t="s">
        <v>38</v>
      </c>
      <c r="K29" s="18" t="s">
        <v>351</v>
      </c>
    </row>
    <row r="30" customFormat="false" ht="408.75" hidden="false" customHeight="true" outlineLevel="0" collapsed="false">
      <c r="A30" s="5" t="s">
        <v>227</v>
      </c>
      <c r="B30" s="5" t="s">
        <v>352</v>
      </c>
      <c r="C30" s="5" t="s">
        <v>299</v>
      </c>
      <c r="D30" s="5" t="s">
        <v>347</v>
      </c>
      <c r="E30" s="5" t="n">
        <v>118</v>
      </c>
      <c r="F30" s="5" t="s">
        <v>353</v>
      </c>
      <c r="G30" s="5" t="s">
        <v>354</v>
      </c>
      <c r="H30" s="5" t="s">
        <v>281</v>
      </c>
      <c r="I30" s="5" t="s">
        <v>355</v>
      </c>
      <c r="J30" s="5" t="s">
        <v>38</v>
      </c>
      <c r="K30" s="18" t="s">
        <v>356</v>
      </c>
    </row>
  </sheetData>
  <autoFilter ref="A4:K30"/>
  <conditionalFormatting sqref="J5:J30">
    <cfRule type="expression" priority="2" aboveAverage="0" equalAverage="0" bottom="0" percent="0" rank="0" text="" dxfId="7">
      <formula>J5="Not started"</formula>
    </cfRule>
    <cfRule type="expression" priority="3" aboveAverage="0" equalAverage="0" bottom="0" percent="0" rank="0" text="" dxfId="8">
      <formula>J5="In progress"</formula>
    </cfRule>
    <cfRule type="expression" priority="4" aboveAverage="0" equalAverage="0" bottom="0" percent="0" rank="0" text="" dxfId="9">
      <formula>J5="Review"</formula>
    </cfRule>
    <cfRule type="expression" priority="5" aboveAverage="0" equalAverage="0" bottom="0" percent="0" rank="0" text="" dxfId="10">
      <formula>J5="Approved"</formula>
    </cfRule>
    <cfRule type="expression" priority="6" aboveAverage="0" equalAverage="0" bottom="0" percent="0" rank="0" text="" dxfId="11">
      <formula>J5="Blocked"</formula>
    </cfRule>
    <cfRule type="expression" priority="7" aboveAverage="0" equalAverage="0" bottom="0" percent="0" rank="0" text="" dxfId="12">
      <formula>J5="N/A"</formula>
    </cfRule>
  </conditionalFormatting>
  <dataValidations count="1">
    <dataValidation allowBlank="true" errorStyle="stop" operator="between" showDropDown="false" showErrorMessage="false" showInputMessage="false" sqref="J5:J3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170"/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36"/>
  </cols>
  <sheetData>
    <row r="1" customFormat="false" ht="25.5" hidden="false" customHeight="tru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31.5" hidden="false" customHeight="true" outlineLevel="0" collapsed="false">
      <c r="A4" s="4" t="s">
        <v>359</v>
      </c>
      <c r="B4" s="4" t="s">
        <v>360</v>
      </c>
      <c r="C4" s="4" t="s">
        <v>361</v>
      </c>
      <c r="D4" s="4" t="s">
        <v>362</v>
      </c>
      <c r="E4" s="4" t="s">
        <v>363</v>
      </c>
      <c r="F4" s="4" t="s">
        <v>240</v>
      </c>
      <c r="G4" s="4" t="s">
        <v>75</v>
      </c>
      <c r="H4" s="4" t="s">
        <v>364</v>
      </c>
      <c r="I4" s="4" t="s">
        <v>76</v>
      </c>
    </row>
    <row r="5" customFormat="false" ht="15" hidden="false" customHeight="false" outlineLevel="0" collapsed="false">
      <c r="A5" s="5" t="s">
        <v>365</v>
      </c>
      <c r="B5" s="5" t="s">
        <v>366</v>
      </c>
      <c r="C5" s="5" t="s">
        <v>199</v>
      </c>
      <c r="D5" s="5" t="s">
        <v>367</v>
      </c>
      <c r="E5" s="5" t="s">
        <v>368</v>
      </c>
      <c r="F5" s="5" t="s">
        <v>38</v>
      </c>
      <c r="G5" s="18"/>
      <c r="H5" s="18"/>
      <c r="I5" s="18" t="s">
        <v>369</v>
      </c>
    </row>
    <row r="6" customFormat="false" ht="15" hidden="false" customHeight="false" outlineLevel="0" collapsed="false">
      <c r="A6" s="5" t="s">
        <v>370</v>
      </c>
      <c r="B6" s="5" t="s">
        <v>366</v>
      </c>
      <c r="C6" s="5" t="s">
        <v>199</v>
      </c>
      <c r="D6" s="5" t="s">
        <v>371</v>
      </c>
      <c r="E6" s="5" t="s">
        <v>368</v>
      </c>
      <c r="F6" s="5" t="s">
        <v>38</v>
      </c>
      <c r="G6" s="18"/>
      <c r="H6" s="18"/>
      <c r="I6" s="18"/>
    </row>
    <row r="7" customFormat="false" ht="15" hidden="false" customHeight="false" outlineLevel="0" collapsed="false">
      <c r="A7" s="5" t="s">
        <v>372</v>
      </c>
      <c r="B7" s="5" t="s">
        <v>366</v>
      </c>
      <c r="C7" s="5" t="s">
        <v>199</v>
      </c>
      <c r="D7" s="5" t="s">
        <v>373</v>
      </c>
      <c r="E7" s="5"/>
      <c r="F7" s="5" t="s">
        <v>38</v>
      </c>
      <c r="G7" s="18"/>
      <c r="H7" s="18"/>
      <c r="I7" s="18"/>
    </row>
    <row r="8" customFormat="false" ht="15" hidden="false" customHeight="false" outlineLevel="0" collapsed="false">
      <c r="A8" s="5" t="s">
        <v>374</v>
      </c>
      <c r="B8" s="5" t="s">
        <v>366</v>
      </c>
      <c r="C8" s="5" t="s">
        <v>199</v>
      </c>
      <c r="D8" s="5" t="s">
        <v>375</v>
      </c>
      <c r="E8" s="5" t="s">
        <v>376</v>
      </c>
      <c r="F8" s="5" t="s">
        <v>38</v>
      </c>
      <c r="G8" s="18"/>
      <c r="H8" s="18"/>
      <c r="I8" s="18" t="s">
        <v>377</v>
      </c>
    </row>
    <row r="9" customFormat="false" ht="15" hidden="false" customHeight="false" outlineLevel="0" collapsed="false">
      <c r="A9" s="5" t="s">
        <v>378</v>
      </c>
      <c r="B9" s="5" t="s">
        <v>218</v>
      </c>
      <c r="C9" s="5" t="s">
        <v>199</v>
      </c>
      <c r="D9" s="5" t="s">
        <v>379</v>
      </c>
      <c r="E9" s="5"/>
      <c r="F9" s="5" t="s">
        <v>38</v>
      </c>
      <c r="G9" s="18"/>
      <c r="H9" s="18"/>
      <c r="I9" s="18" t="s">
        <v>380</v>
      </c>
    </row>
    <row r="10" customFormat="false" ht="15" hidden="false" customHeight="false" outlineLevel="0" collapsed="false">
      <c r="A10" s="5" t="s">
        <v>381</v>
      </c>
      <c r="B10" s="5" t="s">
        <v>382</v>
      </c>
      <c r="C10" s="5" t="s">
        <v>199</v>
      </c>
      <c r="D10" s="5" t="s">
        <v>375</v>
      </c>
      <c r="E10" s="5" t="s">
        <v>383</v>
      </c>
      <c r="F10" s="5" t="s">
        <v>38</v>
      </c>
      <c r="G10" s="18"/>
      <c r="H10" s="18"/>
      <c r="I10" s="18" t="s">
        <v>384</v>
      </c>
    </row>
    <row r="11" customFormat="false" ht="15" hidden="false" customHeight="false" outlineLevel="0" collapsed="false">
      <c r="A11" s="5" t="s">
        <v>385</v>
      </c>
      <c r="B11" s="5" t="s">
        <v>382</v>
      </c>
      <c r="C11" s="5" t="s">
        <v>386</v>
      </c>
      <c r="D11" s="5" t="s">
        <v>375</v>
      </c>
      <c r="E11" s="5" t="s">
        <v>387</v>
      </c>
      <c r="F11" s="5" t="s">
        <v>38</v>
      </c>
      <c r="G11" s="18"/>
      <c r="H11" s="18"/>
      <c r="I11" s="18" t="s">
        <v>256</v>
      </c>
    </row>
    <row r="12" customFormat="false" ht="15" hidden="false" customHeight="false" outlineLevel="0" collapsed="false">
      <c r="A12" s="5" t="s">
        <v>388</v>
      </c>
      <c r="B12" s="5" t="s">
        <v>382</v>
      </c>
      <c r="C12" s="5" t="s">
        <v>386</v>
      </c>
      <c r="D12" s="5" t="s">
        <v>375</v>
      </c>
      <c r="E12" s="5" t="s">
        <v>389</v>
      </c>
      <c r="F12" s="5" t="s">
        <v>38</v>
      </c>
      <c r="G12" s="18"/>
      <c r="H12" s="18"/>
      <c r="I12" s="18" t="s">
        <v>390</v>
      </c>
    </row>
    <row r="13" customFormat="false" ht="15" hidden="false" customHeight="false" outlineLevel="0" collapsed="false">
      <c r="A13" s="5" t="s">
        <v>391</v>
      </c>
      <c r="B13" s="5" t="s">
        <v>382</v>
      </c>
      <c r="C13" s="5" t="s">
        <v>386</v>
      </c>
      <c r="D13" s="5" t="s">
        <v>375</v>
      </c>
      <c r="E13" s="5"/>
      <c r="F13" s="5" t="s">
        <v>38</v>
      </c>
      <c r="G13" s="18"/>
      <c r="H13" s="18"/>
      <c r="I13" s="18" t="s">
        <v>392</v>
      </c>
    </row>
    <row r="14" customFormat="false" ht="15" hidden="false" customHeight="false" outlineLevel="0" collapsed="false">
      <c r="A14" s="5" t="s">
        <v>393</v>
      </c>
      <c r="B14" s="5" t="s">
        <v>382</v>
      </c>
      <c r="C14" s="5" t="s">
        <v>394</v>
      </c>
      <c r="D14" s="5" t="s">
        <v>395</v>
      </c>
      <c r="E14" s="5"/>
      <c r="F14" s="5" t="s">
        <v>38</v>
      </c>
      <c r="G14" s="18"/>
      <c r="H14" s="18"/>
      <c r="I14" s="18" t="s">
        <v>396</v>
      </c>
    </row>
    <row r="15" customFormat="false" ht="23.85" hidden="false" customHeight="false" outlineLevel="0" collapsed="false">
      <c r="A15" s="5" t="s">
        <v>397</v>
      </c>
      <c r="B15" s="5" t="s">
        <v>398</v>
      </c>
      <c r="C15" s="5" t="s">
        <v>199</v>
      </c>
      <c r="D15" s="5" t="s">
        <v>399</v>
      </c>
      <c r="E15" s="5"/>
      <c r="F15" s="5" t="s">
        <v>38</v>
      </c>
      <c r="G15" s="18"/>
      <c r="H15" s="18"/>
      <c r="I15" s="18" t="s">
        <v>400</v>
      </c>
    </row>
    <row r="16" customFormat="false" ht="15" hidden="false" customHeight="false" outlineLevel="0" collapsed="false">
      <c r="A16" s="5" t="s">
        <v>401</v>
      </c>
      <c r="B16" s="5" t="s">
        <v>402</v>
      </c>
      <c r="C16" s="5" t="s">
        <v>403</v>
      </c>
      <c r="D16" s="5" t="s">
        <v>375</v>
      </c>
      <c r="E16" s="5"/>
      <c r="F16" s="5" t="s">
        <v>38</v>
      </c>
      <c r="G16" s="18"/>
      <c r="H16" s="18"/>
      <c r="I16" s="18" t="s">
        <v>404</v>
      </c>
    </row>
    <row r="17" customFormat="false" ht="15" hidden="false" customHeight="false" outlineLevel="0" collapsed="false">
      <c r="A17" s="5" t="s">
        <v>405</v>
      </c>
      <c r="B17" s="5" t="s">
        <v>402</v>
      </c>
      <c r="C17" s="5" t="s">
        <v>406</v>
      </c>
      <c r="D17" s="5" t="s">
        <v>375</v>
      </c>
      <c r="E17" s="5"/>
      <c r="F17" s="5" t="s">
        <v>38</v>
      </c>
      <c r="G17" s="18"/>
      <c r="H17" s="18"/>
      <c r="I17" s="18" t="s">
        <v>407</v>
      </c>
    </row>
    <row r="18" customFormat="false" ht="15" hidden="false" customHeight="false" outlineLevel="0" collapsed="false">
      <c r="A18" s="5" t="s">
        <v>408</v>
      </c>
      <c r="B18" s="5" t="s">
        <v>402</v>
      </c>
      <c r="C18" s="5" t="s">
        <v>406</v>
      </c>
      <c r="D18" s="5" t="s">
        <v>375</v>
      </c>
      <c r="E18" s="5" t="s">
        <v>409</v>
      </c>
      <c r="F18" s="5" t="s">
        <v>38</v>
      </c>
      <c r="G18" s="18"/>
      <c r="H18" s="18"/>
      <c r="I18" s="18" t="s">
        <v>410</v>
      </c>
    </row>
    <row r="19" customFormat="false" ht="15" hidden="false" customHeight="false" outlineLevel="0" collapsed="false">
      <c r="A19" s="5" t="s">
        <v>411</v>
      </c>
      <c r="B19" s="5" t="s">
        <v>412</v>
      </c>
      <c r="C19" s="5" t="s">
        <v>199</v>
      </c>
      <c r="D19" s="5" t="s">
        <v>375</v>
      </c>
      <c r="E19" s="5" t="s">
        <v>383</v>
      </c>
      <c r="F19" s="5" t="s">
        <v>38</v>
      </c>
      <c r="G19" s="18"/>
      <c r="H19" s="18"/>
      <c r="I19" s="18" t="s">
        <v>413</v>
      </c>
    </row>
    <row r="20" customFormat="false" ht="15" hidden="false" customHeight="false" outlineLevel="0" collapsed="false">
      <c r="A20" s="5" t="s">
        <v>414</v>
      </c>
      <c r="B20" s="5" t="s">
        <v>412</v>
      </c>
      <c r="C20" s="5" t="s">
        <v>386</v>
      </c>
      <c r="D20" s="5" t="s">
        <v>415</v>
      </c>
      <c r="E20" s="5" t="s">
        <v>368</v>
      </c>
      <c r="F20" s="5" t="s">
        <v>38</v>
      </c>
      <c r="G20" s="18"/>
      <c r="H20" s="18"/>
      <c r="I20" s="18"/>
    </row>
    <row r="21" customFormat="false" ht="15" hidden="false" customHeight="false" outlineLevel="0" collapsed="false">
      <c r="A21" s="5" t="s">
        <v>416</v>
      </c>
      <c r="B21" s="5" t="s">
        <v>417</v>
      </c>
      <c r="C21" s="5" t="s">
        <v>418</v>
      </c>
      <c r="D21" s="5" t="s">
        <v>419</v>
      </c>
      <c r="E21" s="5" t="s">
        <v>420</v>
      </c>
      <c r="F21" s="5" t="s">
        <v>39</v>
      </c>
      <c r="G21" s="18"/>
      <c r="H21" s="18"/>
      <c r="I21" s="18" t="s">
        <v>421</v>
      </c>
    </row>
    <row r="22" customFormat="false" ht="15" hidden="false" customHeight="false" outlineLevel="0" collapsed="false">
      <c r="A22" s="5" t="s">
        <v>422</v>
      </c>
      <c r="B22" s="5" t="s">
        <v>218</v>
      </c>
      <c r="C22" s="5" t="s">
        <v>423</v>
      </c>
      <c r="D22" s="5" t="s">
        <v>424</v>
      </c>
      <c r="E22" s="5" t="s">
        <v>425</v>
      </c>
      <c r="F22" s="5" t="s">
        <v>38</v>
      </c>
      <c r="G22" s="18"/>
      <c r="H22" s="18"/>
      <c r="I22" s="18" t="s">
        <v>426</v>
      </c>
    </row>
    <row r="23" customFormat="false" ht="15" hidden="false" customHeight="false" outlineLevel="0" collapsed="false">
      <c r="A23" s="5" t="s">
        <v>427</v>
      </c>
      <c r="B23" s="5" t="s">
        <v>218</v>
      </c>
      <c r="C23" s="5" t="s">
        <v>406</v>
      </c>
      <c r="D23" s="5" t="s">
        <v>424</v>
      </c>
      <c r="E23" s="5" t="s">
        <v>425</v>
      </c>
      <c r="F23" s="5" t="s">
        <v>38</v>
      </c>
      <c r="G23" s="18"/>
      <c r="H23" s="18"/>
      <c r="I23" s="18" t="s">
        <v>428</v>
      </c>
    </row>
    <row r="24" customFormat="false" ht="15" hidden="false" customHeight="false" outlineLevel="0" collapsed="false">
      <c r="A24" s="5" t="s">
        <v>429</v>
      </c>
      <c r="B24" s="5" t="s">
        <v>218</v>
      </c>
      <c r="C24" s="5" t="s">
        <v>406</v>
      </c>
      <c r="D24" s="5" t="s">
        <v>430</v>
      </c>
      <c r="E24" s="5" t="s">
        <v>425</v>
      </c>
      <c r="F24" s="5" t="s">
        <v>38</v>
      </c>
      <c r="G24" s="18"/>
      <c r="H24" s="18"/>
      <c r="I24" s="18" t="s">
        <v>431</v>
      </c>
    </row>
    <row r="25" customFormat="false" ht="15" hidden="false" customHeight="false" outlineLevel="0" collapsed="false">
      <c r="A25" s="5" t="s">
        <v>432</v>
      </c>
      <c r="B25" s="5" t="s">
        <v>433</v>
      </c>
      <c r="C25" s="5" t="s">
        <v>434</v>
      </c>
      <c r="D25" s="5" t="s">
        <v>435</v>
      </c>
      <c r="E25" s="5"/>
      <c r="F25" s="5" t="s">
        <v>38</v>
      </c>
      <c r="G25" s="18"/>
      <c r="H25" s="18"/>
      <c r="I25" s="18" t="s">
        <v>436</v>
      </c>
    </row>
  </sheetData>
  <autoFilter ref="A4:I25"/>
  <conditionalFormatting sqref="F5:F25">
    <cfRule type="expression" priority="2" aboveAverage="0" equalAverage="0" bottom="0" percent="0" rank="0" text="" dxfId="7">
      <formula>F5="Not started"</formula>
    </cfRule>
    <cfRule type="expression" priority="3" aboveAverage="0" equalAverage="0" bottom="0" percent="0" rank="0" text="" dxfId="8">
      <formula>F5="In progress"</formula>
    </cfRule>
    <cfRule type="expression" priority="4" aboveAverage="0" equalAverage="0" bottom="0" percent="0" rank="0" text="" dxfId="9">
      <formula>F5="Review"</formula>
    </cfRule>
    <cfRule type="expression" priority="5" aboveAverage="0" equalAverage="0" bottom="0" percent="0" rank="0" text="" dxfId="10">
      <formula>F5="Approved"</formula>
    </cfRule>
    <cfRule type="expression" priority="6" aboveAverage="0" equalAverage="0" bottom="0" percent="0" rank="0" text="" dxfId="11">
      <formula>F5="Blocked"</formula>
    </cfRule>
    <cfRule type="expression" priority="7" aboveAverage="0" equalAverage="0" bottom="0" percent="0" rank="0" text="" dxfId="12">
      <formula>F5="N/A"</formula>
    </cfRule>
  </conditionalFormatting>
  <dataValidations count="1">
    <dataValidation allowBlank="true" errorStyle="stop" operator="between" showDropDown="false" showErrorMessage="false" showInputMessage="false" sqref="F5:F25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B673"/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437</v>
      </c>
    </row>
    <row r="2" customFormat="false" ht="15" hidden="false" customHeight="false" outlineLevel="0" collapsed="false">
      <c r="A2" s="2" t="s">
        <v>438</v>
      </c>
    </row>
    <row r="4" customFormat="false" ht="31.5" hidden="false" customHeight="true" outlineLevel="0" collapsed="false">
      <c r="A4" s="4" t="s">
        <v>439</v>
      </c>
      <c r="B4" s="4" t="s">
        <v>440</v>
      </c>
      <c r="C4" s="4" t="s">
        <v>441</v>
      </c>
      <c r="D4" s="4" t="s">
        <v>442</v>
      </c>
      <c r="E4" s="4" t="s">
        <v>443</v>
      </c>
      <c r="F4" s="4" t="s">
        <v>444</v>
      </c>
      <c r="G4" s="4" t="s">
        <v>76</v>
      </c>
    </row>
    <row r="5" customFormat="false" ht="15" hidden="false" customHeight="false" outlineLevel="0" collapsed="false">
      <c r="A5" s="5" t="s">
        <v>445</v>
      </c>
      <c r="B5" s="5" t="s">
        <v>446</v>
      </c>
      <c r="C5" s="5" t="s">
        <v>447</v>
      </c>
      <c r="D5" s="5" t="s">
        <v>448</v>
      </c>
      <c r="E5" s="5" t="s">
        <v>449</v>
      </c>
      <c r="F5" s="5" t="s">
        <v>38</v>
      </c>
      <c r="G5" s="18" t="s">
        <v>450</v>
      </c>
    </row>
    <row r="6" customFormat="false" ht="15" hidden="false" customHeight="false" outlineLevel="0" collapsed="false">
      <c r="A6" s="5" t="s">
        <v>451</v>
      </c>
      <c r="B6" s="5" t="s">
        <v>446</v>
      </c>
      <c r="C6" s="5" t="s">
        <v>452</v>
      </c>
      <c r="D6" s="5" t="s">
        <v>453</v>
      </c>
      <c r="E6" s="5" t="s">
        <v>449</v>
      </c>
      <c r="F6" s="5" t="s">
        <v>38</v>
      </c>
      <c r="G6" s="18" t="s">
        <v>454</v>
      </c>
    </row>
    <row r="7" customFormat="false" ht="15" hidden="false" customHeight="false" outlineLevel="0" collapsed="false">
      <c r="A7" s="5" t="s">
        <v>455</v>
      </c>
      <c r="B7" s="5" t="s">
        <v>446</v>
      </c>
      <c r="C7" s="5" t="s">
        <v>456</v>
      </c>
      <c r="D7" s="5" t="s">
        <v>457</v>
      </c>
      <c r="E7" s="5" t="s">
        <v>458</v>
      </c>
      <c r="F7" s="5" t="s">
        <v>38</v>
      </c>
      <c r="G7" s="18"/>
    </row>
    <row r="8" customFormat="false" ht="15" hidden="false" customHeight="false" outlineLevel="0" collapsed="false">
      <c r="A8" s="5" t="s">
        <v>459</v>
      </c>
      <c r="B8" s="5" t="s">
        <v>446</v>
      </c>
      <c r="C8" s="5" t="s">
        <v>460</v>
      </c>
      <c r="D8" s="5" t="s">
        <v>461</v>
      </c>
      <c r="E8" s="5" t="s">
        <v>462</v>
      </c>
      <c r="F8" s="5" t="s">
        <v>38</v>
      </c>
      <c r="G8" s="18"/>
    </row>
    <row r="9" customFormat="false" ht="15" hidden="false" customHeight="false" outlineLevel="0" collapsed="false">
      <c r="A9" s="5" t="s">
        <v>463</v>
      </c>
      <c r="B9" s="5" t="s">
        <v>446</v>
      </c>
      <c r="C9" s="5" t="s">
        <v>464</v>
      </c>
      <c r="D9" s="5" t="s">
        <v>465</v>
      </c>
      <c r="E9" s="5" t="s">
        <v>466</v>
      </c>
      <c r="F9" s="5" t="s">
        <v>38</v>
      </c>
      <c r="G9" s="18"/>
    </row>
    <row r="10" customFormat="false" ht="15" hidden="false" customHeight="false" outlineLevel="0" collapsed="false">
      <c r="A10" s="5" t="s">
        <v>467</v>
      </c>
      <c r="B10" s="5" t="s">
        <v>446</v>
      </c>
      <c r="C10" s="5" t="s">
        <v>468</v>
      </c>
      <c r="D10" s="5" t="s">
        <v>469</v>
      </c>
      <c r="E10" s="5" t="s">
        <v>470</v>
      </c>
      <c r="F10" s="5" t="s">
        <v>38</v>
      </c>
      <c r="G10" s="18"/>
    </row>
    <row r="11" customFormat="false" ht="15" hidden="false" customHeight="false" outlineLevel="0" collapsed="false">
      <c r="A11" s="5" t="s">
        <v>471</v>
      </c>
      <c r="B11" s="5" t="s">
        <v>446</v>
      </c>
      <c r="C11" s="5" t="s">
        <v>472</v>
      </c>
      <c r="D11" s="5" t="s">
        <v>473</v>
      </c>
      <c r="E11" s="5" t="s">
        <v>470</v>
      </c>
      <c r="F11" s="5" t="s">
        <v>38</v>
      </c>
      <c r="G11" s="18" t="s">
        <v>474</v>
      </c>
    </row>
    <row r="12" customFormat="false" ht="15" hidden="false" customHeight="false" outlineLevel="0" collapsed="false">
      <c r="A12" s="5" t="s">
        <v>475</v>
      </c>
      <c r="B12" s="5" t="s">
        <v>446</v>
      </c>
      <c r="C12" s="5" t="s">
        <v>476</v>
      </c>
      <c r="D12" s="5" t="s">
        <v>477</v>
      </c>
      <c r="E12" s="5" t="s">
        <v>462</v>
      </c>
      <c r="F12" s="5" t="s">
        <v>38</v>
      </c>
      <c r="G12" s="18"/>
    </row>
    <row r="13" customFormat="false" ht="15" hidden="false" customHeight="false" outlineLevel="0" collapsed="false">
      <c r="A13" s="5" t="s">
        <v>478</v>
      </c>
      <c r="B13" s="5" t="s">
        <v>446</v>
      </c>
      <c r="C13" s="5" t="s">
        <v>479</v>
      </c>
      <c r="D13" s="5" t="s">
        <v>480</v>
      </c>
      <c r="E13" s="5" t="s">
        <v>466</v>
      </c>
      <c r="F13" s="5" t="s">
        <v>38</v>
      </c>
      <c r="G13" s="18"/>
    </row>
    <row r="14" customFormat="false" ht="15" hidden="false" customHeight="false" outlineLevel="0" collapsed="false">
      <c r="A14" s="5" t="s">
        <v>481</v>
      </c>
      <c r="B14" s="5" t="s">
        <v>446</v>
      </c>
      <c r="C14" s="5" t="s">
        <v>482</v>
      </c>
      <c r="D14" s="5" t="s">
        <v>483</v>
      </c>
      <c r="E14" s="5" t="s">
        <v>484</v>
      </c>
      <c r="F14" s="5" t="s">
        <v>38</v>
      </c>
      <c r="G14" s="18"/>
    </row>
    <row r="15" customFormat="false" ht="15" hidden="false" customHeight="false" outlineLevel="0" collapsed="false">
      <c r="A15" s="5" t="s">
        <v>485</v>
      </c>
      <c r="B15" s="5" t="s">
        <v>446</v>
      </c>
      <c r="C15" s="5" t="s">
        <v>486</v>
      </c>
      <c r="D15" s="5" t="s">
        <v>483</v>
      </c>
      <c r="E15" s="5" t="s">
        <v>466</v>
      </c>
      <c r="F15" s="5" t="s">
        <v>38</v>
      </c>
      <c r="G15" s="18"/>
    </row>
    <row r="16" customFormat="false" ht="15" hidden="false" customHeight="false" outlineLevel="0" collapsed="false">
      <c r="A16" s="5" t="s">
        <v>487</v>
      </c>
      <c r="B16" s="5" t="s">
        <v>446</v>
      </c>
      <c r="C16" s="5" t="s">
        <v>488</v>
      </c>
      <c r="D16" s="5" t="s">
        <v>469</v>
      </c>
      <c r="E16" s="5" t="s">
        <v>458</v>
      </c>
      <c r="F16" s="5" t="s">
        <v>38</v>
      </c>
      <c r="G16" s="18"/>
    </row>
    <row r="17" customFormat="false" ht="15" hidden="false" customHeight="false" outlineLevel="0" collapsed="false">
      <c r="A17" s="5" t="s">
        <v>489</v>
      </c>
      <c r="B17" s="5" t="s">
        <v>446</v>
      </c>
      <c r="C17" s="5" t="s">
        <v>490</v>
      </c>
      <c r="D17" s="5" t="s">
        <v>473</v>
      </c>
      <c r="E17" s="5" t="s">
        <v>491</v>
      </c>
      <c r="F17" s="5" t="s">
        <v>38</v>
      </c>
      <c r="G17" s="18"/>
    </row>
    <row r="18" customFormat="false" ht="15" hidden="false" customHeight="false" outlineLevel="0" collapsed="false">
      <c r="A18" s="5" t="s">
        <v>492</v>
      </c>
      <c r="B18" s="5" t="s">
        <v>446</v>
      </c>
      <c r="C18" s="5" t="s">
        <v>493</v>
      </c>
      <c r="D18" s="5" t="s">
        <v>494</v>
      </c>
      <c r="E18" s="5" t="s">
        <v>449</v>
      </c>
      <c r="F18" s="5" t="s">
        <v>38</v>
      </c>
      <c r="G18" s="18" t="s">
        <v>495</v>
      </c>
    </row>
    <row r="19" customFormat="false" ht="15" hidden="false" customHeight="false" outlineLevel="0" collapsed="false">
      <c r="A19" s="5" t="s">
        <v>496</v>
      </c>
      <c r="B19" s="5" t="s">
        <v>446</v>
      </c>
      <c r="C19" s="5" t="s">
        <v>497</v>
      </c>
      <c r="D19" s="5" t="s">
        <v>498</v>
      </c>
      <c r="E19" s="5" t="s">
        <v>449</v>
      </c>
      <c r="F19" s="5" t="s">
        <v>38</v>
      </c>
      <c r="G19" s="18" t="s">
        <v>499</v>
      </c>
    </row>
    <row r="20" customFormat="false" ht="15" hidden="false" customHeight="false" outlineLevel="0" collapsed="false">
      <c r="A20" s="5" t="s">
        <v>500</v>
      </c>
      <c r="B20" s="5" t="s">
        <v>446</v>
      </c>
      <c r="C20" s="5" t="s">
        <v>501</v>
      </c>
      <c r="D20" s="5" t="s">
        <v>502</v>
      </c>
      <c r="E20" s="5" t="s">
        <v>470</v>
      </c>
      <c r="F20" s="5" t="s">
        <v>38</v>
      </c>
      <c r="G20" s="18"/>
    </row>
    <row r="21" customFormat="false" ht="15" hidden="false" customHeight="false" outlineLevel="0" collapsed="false">
      <c r="A21" s="5" t="s">
        <v>503</v>
      </c>
      <c r="B21" s="5" t="s">
        <v>446</v>
      </c>
      <c r="C21" s="5" t="s">
        <v>504</v>
      </c>
      <c r="D21" s="5" t="s">
        <v>505</v>
      </c>
      <c r="E21" s="5" t="s">
        <v>506</v>
      </c>
      <c r="F21" s="5" t="s">
        <v>38</v>
      </c>
      <c r="G21" s="18" t="s">
        <v>507</v>
      </c>
    </row>
    <row r="22" customFormat="false" ht="15" hidden="false" customHeight="false" outlineLevel="0" collapsed="false">
      <c r="A22" s="5" t="s">
        <v>508</v>
      </c>
      <c r="B22" s="5" t="s">
        <v>509</v>
      </c>
      <c r="C22" s="5" t="s">
        <v>510</v>
      </c>
      <c r="D22" s="5" t="s">
        <v>511</v>
      </c>
      <c r="E22" s="5" t="s">
        <v>512</v>
      </c>
      <c r="F22" s="5" t="s">
        <v>38</v>
      </c>
      <c r="G22" s="18"/>
    </row>
    <row r="23" customFormat="false" ht="15" hidden="false" customHeight="false" outlineLevel="0" collapsed="false">
      <c r="A23" s="5" t="s">
        <v>513</v>
      </c>
      <c r="B23" s="5" t="s">
        <v>509</v>
      </c>
      <c r="C23" s="5" t="s">
        <v>514</v>
      </c>
      <c r="D23" s="5" t="s">
        <v>511</v>
      </c>
      <c r="E23" s="5" t="s">
        <v>512</v>
      </c>
      <c r="F23" s="5" t="s">
        <v>38</v>
      </c>
      <c r="G23" s="18"/>
    </row>
    <row r="24" customFormat="false" ht="15" hidden="false" customHeight="false" outlineLevel="0" collapsed="false">
      <c r="A24" s="5" t="s">
        <v>515</v>
      </c>
      <c r="B24" s="5" t="s">
        <v>509</v>
      </c>
      <c r="C24" s="5" t="s">
        <v>516</v>
      </c>
      <c r="D24" s="5" t="s">
        <v>511</v>
      </c>
      <c r="E24" s="5" t="s">
        <v>517</v>
      </c>
      <c r="F24" s="5" t="s">
        <v>38</v>
      </c>
      <c r="G24" s="18"/>
    </row>
    <row r="25" customFormat="false" ht="15" hidden="false" customHeight="false" outlineLevel="0" collapsed="false">
      <c r="A25" s="5" t="s">
        <v>518</v>
      </c>
      <c r="B25" s="5" t="s">
        <v>509</v>
      </c>
      <c r="C25" s="5" t="s">
        <v>519</v>
      </c>
      <c r="D25" s="5" t="s">
        <v>520</v>
      </c>
      <c r="E25" s="5" t="s">
        <v>512</v>
      </c>
      <c r="F25" s="5" t="s">
        <v>38</v>
      </c>
      <c r="G25" s="18"/>
    </row>
    <row r="26" customFormat="false" ht="15" hidden="false" customHeight="false" outlineLevel="0" collapsed="false">
      <c r="A26" s="5" t="s">
        <v>521</v>
      </c>
      <c r="B26" s="5" t="s">
        <v>509</v>
      </c>
      <c r="C26" s="5" t="s">
        <v>522</v>
      </c>
      <c r="D26" s="5" t="s">
        <v>523</v>
      </c>
      <c r="E26" s="5" t="s">
        <v>517</v>
      </c>
      <c r="F26" s="5" t="s">
        <v>38</v>
      </c>
      <c r="G26" s="18"/>
    </row>
    <row r="27" customFormat="false" ht="15" hidden="false" customHeight="false" outlineLevel="0" collapsed="false">
      <c r="A27" s="5" t="s">
        <v>524</v>
      </c>
      <c r="B27" s="5" t="s">
        <v>525</v>
      </c>
      <c r="C27" s="5" t="s">
        <v>526</v>
      </c>
      <c r="D27" s="5" t="s">
        <v>526</v>
      </c>
      <c r="E27" s="5" t="s">
        <v>526</v>
      </c>
      <c r="F27" s="5" t="s">
        <v>43</v>
      </c>
      <c r="G27" s="18" t="s">
        <v>527</v>
      </c>
    </row>
    <row r="28" customFormat="false" ht="15" hidden="false" customHeight="false" outlineLevel="0" collapsed="false">
      <c r="A28" s="5" t="s">
        <v>528</v>
      </c>
      <c r="B28" s="5" t="s">
        <v>525</v>
      </c>
      <c r="C28" s="5" t="s">
        <v>526</v>
      </c>
      <c r="D28" s="5" t="s">
        <v>526</v>
      </c>
      <c r="E28" s="5" t="s">
        <v>526</v>
      </c>
      <c r="F28" s="5" t="s">
        <v>43</v>
      </c>
      <c r="G28" s="18" t="s">
        <v>529</v>
      </c>
    </row>
  </sheetData>
  <autoFilter ref="A4:G28"/>
  <conditionalFormatting sqref="F5:F28">
    <cfRule type="expression" priority="2" aboveAverage="0" equalAverage="0" bottom="0" percent="0" rank="0" text="" dxfId="7">
      <formula>F5="Not started"</formula>
    </cfRule>
    <cfRule type="expression" priority="3" aboveAverage="0" equalAverage="0" bottom="0" percent="0" rank="0" text="" dxfId="8">
      <formula>F5="In progress"</formula>
    </cfRule>
    <cfRule type="expression" priority="4" aboveAverage="0" equalAverage="0" bottom="0" percent="0" rank="0" text="" dxfId="9">
      <formula>F5="Review"</formula>
    </cfRule>
    <cfRule type="expression" priority="5" aboveAverage="0" equalAverage="0" bottom="0" percent="0" rank="0" text="" dxfId="10">
      <formula>F5="Approved"</formula>
    </cfRule>
    <cfRule type="expression" priority="6" aboveAverage="0" equalAverage="0" bottom="0" percent="0" rank="0" text="" dxfId="11">
      <formula>F5="Blocked"</formula>
    </cfRule>
    <cfRule type="expression" priority="7" aboveAverage="0" equalAverage="0" bottom="0" percent="0" rank="0" text="" dxfId="12">
      <formula>F5="N/A"</formula>
    </cfRule>
  </conditionalFormatting>
  <conditionalFormatting sqref="B5:B28">
    <cfRule type="expression" priority="8" aboveAverage="0" equalAverage="0" bottom="0" percent="0" rank="0" text="" dxfId="10">
      <formula>B5="A · use freely"</formula>
    </cfRule>
    <cfRule type="expression" priority="9" aboveAverage="0" equalAverage="0" bottom="0" percent="0" rank="0" text="" dxfId="9">
      <formula>B5="B · short holds / backgrounds"</formula>
    </cfRule>
    <cfRule type="expression" priority="10" aboveAverage="0" equalAverage="0" bottom="0" percent="0" rank="0" text="" dxfId="11">
      <formula>B5="C · avoid"</formula>
    </cfRule>
  </conditionalFormatting>
  <dataValidations count="1">
    <dataValidation allowBlank="true" errorStyle="stop" operator="between" showDropDown="false" showErrorMessage="false" showInputMessage="false" sqref="F5:F28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FDE"/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62"/>
  </cols>
  <sheetData>
    <row r="1" customFormat="false" ht="25.5" hidden="false" customHeight="true" outlineLevel="0" collapsed="false">
      <c r="A1" s="1" t="s">
        <v>530</v>
      </c>
    </row>
    <row r="2" customFormat="false" ht="15" hidden="false" customHeight="false" outlineLevel="0" collapsed="false">
      <c r="A2" s="2" t="s">
        <v>531</v>
      </c>
    </row>
    <row r="4" customFormat="false" ht="31.5" hidden="false" customHeight="true" outlineLevel="0" collapsed="false">
      <c r="A4" s="4" t="s">
        <v>532</v>
      </c>
      <c r="B4" s="4" t="s">
        <v>533</v>
      </c>
      <c r="C4" s="4" t="s">
        <v>534</v>
      </c>
      <c r="D4" s="4" t="s">
        <v>535</v>
      </c>
      <c r="E4" s="4" t="s">
        <v>536</v>
      </c>
      <c r="F4" s="4" t="s">
        <v>537</v>
      </c>
    </row>
    <row r="5" customFormat="false" ht="57.45" hidden="false" customHeight="false" outlineLevel="0" collapsed="false">
      <c r="A5" s="5" t="n">
        <v>1</v>
      </c>
      <c r="B5" s="5" t="s">
        <v>538</v>
      </c>
      <c r="C5" s="5" t="s">
        <v>539</v>
      </c>
      <c r="D5" s="5" t="s">
        <v>540</v>
      </c>
      <c r="E5" s="5" t="s">
        <v>541</v>
      </c>
      <c r="F5" s="5" t="s">
        <v>542</v>
      </c>
    </row>
    <row r="6" customFormat="false" ht="79.85" hidden="false" customHeight="false" outlineLevel="0" collapsed="false">
      <c r="A6" s="5" t="n">
        <v>2</v>
      </c>
      <c r="B6" s="5" t="s">
        <v>543</v>
      </c>
      <c r="C6" s="5" t="s">
        <v>544</v>
      </c>
      <c r="D6" s="5" t="s">
        <v>545</v>
      </c>
      <c r="E6" s="5" t="s">
        <v>546</v>
      </c>
      <c r="F6" s="5" t="s">
        <v>547</v>
      </c>
    </row>
    <row r="7" customFormat="false" ht="68.65" hidden="false" customHeight="false" outlineLevel="0" collapsed="false">
      <c r="A7" s="5" t="n">
        <v>3</v>
      </c>
      <c r="B7" s="5" t="s">
        <v>548</v>
      </c>
      <c r="C7" s="5" t="s">
        <v>549</v>
      </c>
      <c r="D7" s="5" t="s">
        <v>550</v>
      </c>
      <c r="E7" s="5" t="s">
        <v>551</v>
      </c>
      <c r="F7" s="5" t="s">
        <v>552</v>
      </c>
    </row>
    <row r="8" customFormat="false" ht="79.85" hidden="false" customHeight="false" outlineLevel="0" collapsed="false">
      <c r="A8" s="5" t="n">
        <v>4</v>
      </c>
      <c r="B8" s="5" t="s">
        <v>150</v>
      </c>
      <c r="C8" s="5" t="s">
        <v>553</v>
      </c>
      <c r="D8" s="5" t="s">
        <v>554</v>
      </c>
      <c r="E8" s="5" t="s">
        <v>555</v>
      </c>
      <c r="F8" s="5" t="s">
        <v>556</v>
      </c>
    </row>
    <row r="9" customFormat="false" ht="79.85" hidden="false" customHeight="false" outlineLevel="0" collapsed="false">
      <c r="A9" s="5" t="n">
        <v>5</v>
      </c>
      <c r="B9" s="5" t="s">
        <v>557</v>
      </c>
      <c r="C9" s="5" t="s">
        <v>558</v>
      </c>
      <c r="D9" s="5" t="s">
        <v>559</v>
      </c>
      <c r="E9" s="5" t="s">
        <v>560</v>
      </c>
      <c r="F9" s="5" t="s">
        <v>556</v>
      </c>
    </row>
    <row r="10" customFormat="false" ht="57.45" hidden="false" customHeight="false" outlineLevel="0" collapsed="false">
      <c r="A10" s="5" t="n">
        <v>6</v>
      </c>
      <c r="B10" s="5" t="s">
        <v>139</v>
      </c>
      <c r="C10" s="5" t="s">
        <v>561</v>
      </c>
      <c r="D10" s="5" t="s">
        <v>562</v>
      </c>
      <c r="E10" s="5" t="s">
        <v>563</v>
      </c>
      <c r="F10" s="5" t="s">
        <v>564</v>
      </c>
    </row>
    <row r="11" customFormat="false" ht="57.45" hidden="false" customHeight="false" outlineLevel="0" collapsed="false">
      <c r="A11" s="5" t="n">
        <v>7</v>
      </c>
      <c r="B11" s="5" t="s">
        <v>565</v>
      </c>
      <c r="C11" s="5" t="s">
        <v>566</v>
      </c>
      <c r="D11" s="5" t="s">
        <v>567</v>
      </c>
      <c r="E11" s="5" t="s">
        <v>568</v>
      </c>
      <c r="F11" s="5" t="s">
        <v>569</v>
      </c>
    </row>
    <row r="12" customFormat="false" ht="91" hidden="false" customHeight="false" outlineLevel="0" collapsed="false">
      <c r="A12" s="5" t="n">
        <v>8</v>
      </c>
      <c r="B12" s="5" t="s">
        <v>570</v>
      </c>
      <c r="C12" s="5" t="s">
        <v>571</v>
      </c>
      <c r="D12" s="5" t="s">
        <v>572</v>
      </c>
      <c r="E12" s="5" t="s">
        <v>573</v>
      </c>
      <c r="F12" s="5" t="s">
        <v>569</v>
      </c>
    </row>
    <row r="13" customFormat="false" ht="79.85" hidden="false" customHeight="false" outlineLevel="0" collapsed="false">
      <c r="A13" s="5" t="n">
        <v>9</v>
      </c>
      <c r="B13" s="5" t="s">
        <v>574</v>
      </c>
      <c r="C13" s="5" t="s">
        <v>575</v>
      </c>
      <c r="D13" s="5" t="s">
        <v>576</v>
      </c>
      <c r="E13" s="5" t="s">
        <v>577</v>
      </c>
      <c r="F13" s="5" t="s">
        <v>578</v>
      </c>
    </row>
    <row r="14" customFormat="false" ht="46.25" hidden="false" customHeight="false" outlineLevel="0" collapsed="false">
      <c r="A14" s="5" t="n">
        <v>10</v>
      </c>
      <c r="B14" s="5" t="s">
        <v>579</v>
      </c>
      <c r="C14" s="19" t="s">
        <v>580</v>
      </c>
      <c r="D14" s="5" t="s">
        <v>581</v>
      </c>
      <c r="E14" s="5" t="s">
        <v>582</v>
      </c>
      <c r="F14" s="5" t="s">
        <v>583</v>
      </c>
    </row>
    <row r="16" customFormat="false" ht="15" hidden="false" customHeight="false" outlineLevel="0" collapsed="false">
      <c r="A16" s="20" t="s">
        <v>584</v>
      </c>
    </row>
    <row r="17" customFormat="false" ht="15" hidden="false" customHeight="false" outlineLevel="0" collapsed="false">
      <c r="A17" s="6" t="s">
        <v>585</v>
      </c>
      <c r="B17" s="21" t="n">
        <v>0.065</v>
      </c>
    </row>
    <row r="18" customFormat="false" ht="15" hidden="false" customHeight="false" outlineLevel="0" collapsed="false">
      <c r="A18" s="6" t="s">
        <v>586</v>
      </c>
      <c r="B18" s="21" t="n">
        <v>0.013</v>
      </c>
    </row>
    <row r="19" customFormat="false" ht="15" hidden="false" customHeight="false" outlineLevel="0" collapsed="false">
      <c r="A19" s="6" t="s">
        <v>587</v>
      </c>
      <c r="B19" s="21" t="n">
        <v>0.0033</v>
      </c>
    </row>
    <row r="20" customFormat="false" ht="15" hidden="false" customHeight="false" outlineLevel="0" collapsed="false">
      <c r="A20" s="16" t="s">
        <v>588</v>
      </c>
    </row>
    <row r="22" customFormat="false" ht="15" hidden="false" customHeight="false" outlineLevel="0" collapsed="false">
      <c r="A22" s="3" t="s">
        <v>589</v>
      </c>
    </row>
    <row r="23" customFormat="false" ht="31.5" hidden="false" customHeight="true" outlineLevel="0" collapsed="false">
      <c r="A23" s="4" t="s">
        <v>590</v>
      </c>
      <c r="B23" s="4" t="s">
        <v>3</v>
      </c>
      <c r="C23" s="4" t="s">
        <v>532</v>
      </c>
      <c r="D23" s="4" t="s">
        <v>591</v>
      </c>
      <c r="E23" s="4" t="s">
        <v>592</v>
      </c>
      <c r="F23" s="4" t="s">
        <v>593</v>
      </c>
      <c r="G23" s="4" t="s">
        <v>594</v>
      </c>
      <c r="H23" s="4" t="s">
        <v>595</v>
      </c>
      <c r="I23" s="4" t="s">
        <v>596</v>
      </c>
      <c r="J23" s="4" t="s">
        <v>597</v>
      </c>
    </row>
    <row r="24" customFormat="false" ht="15" hidden="false" customHeight="false" outlineLevel="0" collapsed="false">
      <c r="A24" s="5" t="s">
        <v>598</v>
      </c>
      <c r="B24" s="5" t="s">
        <v>12</v>
      </c>
      <c r="C24" s="5" t="s">
        <v>599</v>
      </c>
      <c r="D24" s="22" t="n">
        <v>1</v>
      </c>
      <c r="E24" s="22" t="n">
        <v>9</v>
      </c>
      <c r="F24" s="5" t="n">
        <f aca="false">D24*E24</f>
        <v>9</v>
      </c>
      <c r="G24" s="23" t="n">
        <f aca="false">F24*$B$17</f>
        <v>0.585</v>
      </c>
      <c r="H24" s="23" t="n">
        <f aca="false">F24*$B$18</f>
        <v>0.117</v>
      </c>
      <c r="I24" s="23" t="n">
        <f aca="false">F24*$B$19</f>
        <v>0.0297</v>
      </c>
      <c r="J24" s="5" t="s">
        <v>600</v>
      </c>
    </row>
    <row r="25" customFormat="false" ht="15" hidden="false" customHeight="false" outlineLevel="0" collapsed="false">
      <c r="A25" s="5" t="s">
        <v>601</v>
      </c>
      <c r="B25" s="5" t="s">
        <v>12</v>
      </c>
      <c r="C25" s="5" t="s">
        <v>599</v>
      </c>
      <c r="D25" s="22" t="n">
        <v>7</v>
      </c>
      <c r="E25" s="22" t="n">
        <v>3.5</v>
      </c>
      <c r="F25" s="5" t="n">
        <f aca="false">D25*E25</f>
        <v>24.5</v>
      </c>
      <c r="G25" s="23" t="n">
        <f aca="false">F25*$B$17</f>
        <v>1.5925</v>
      </c>
      <c r="H25" s="23" t="n">
        <f aca="false">F25*$B$18</f>
        <v>0.3185</v>
      </c>
      <c r="I25" s="23" t="n">
        <f aca="false">F25*$B$19</f>
        <v>0.08085</v>
      </c>
      <c r="J25" s="5" t="s">
        <v>602</v>
      </c>
    </row>
    <row r="26" customFormat="false" ht="15" hidden="false" customHeight="false" outlineLevel="0" collapsed="false">
      <c r="A26" s="5" t="s">
        <v>603</v>
      </c>
      <c r="B26" s="5" t="s">
        <v>16</v>
      </c>
      <c r="C26" s="5" t="s">
        <v>604</v>
      </c>
      <c r="D26" s="22" t="n">
        <v>1</v>
      </c>
      <c r="E26" s="22" t="n">
        <v>9</v>
      </c>
      <c r="F26" s="5" t="n">
        <f aca="false">D26*E26</f>
        <v>9</v>
      </c>
      <c r="G26" s="23" t="n">
        <f aca="false">F26*$B$17</f>
        <v>0.585</v>
      </c>
      <c r="H26" s="23" t="n">
        <f aca="false">F26*$B$18</f>
        <v>0.117</v>
      </c>
      <c r="I26" s="23" t="n">
        <f aca="false">F26*$B$19</f>
        <v>0.0297</v>
      </c>
      <c r="J26" s="5" t="s">
        <v>605</v>
      </c>
    </row>
    <row r="27" customFormat="false" ht="15" hidden="false" customHeight="false" outlineLevel="0" collapsed="false">
      <c r="A27" s="5" t="s">
        <v>606</v>
      </c>
      <c r="B27" s="5" t="s">
        <v>16</v>
      </c>
      <c r="C27" s="5" t="s">
        <v>604</v>
      </c>
      <c r="D27" s="22" t="n">
        <v>7</v>
      </c>
      <c r="E27" s="22" t="n">
        <v>3.5</v>
      </c>
      <c r="F27" s="5" t="n">
        <f aca="false">D27*E27</f>
        <v>24.5</v>
      </c>
      <c r="G27" s="23" t="n">
        <f aca="false">F27*$B$17</f>
        <v>1.5925</v>
      </c>
      <c r="H27" s="23" t="n">
        <f aca="false">F27*$B$18</f>
        <v>0.3185</v>
      </c>
      <c r="I27" s="23" t="n">
        <f aca="false">F27*$B$19</f>
        <v>0.08085</v>
      </c>
      <c r="J27" s="5" t="s">
        <v>607</v>
      </c>
    </row>
    <row r="28" customFormat="false" ht="15" hidden="false" customHeight="false" outlineLevel="0" collapsed="false">
      <c r="A28" s="5" t="s">
        <v>608</v>
      </c>
      <c r="B28" s="5" t="s">
        <v>16</v>
      </c>
      <c r="C28" s="5" t="s">
        <v>599</v>
      </c>
      <c r="D28" s="22" t="n">
        <v>1</v>
      </c>
      <c r="E28" s="22" t="n">
        <v>8</v>
      </c>
      <c r="F28" s="5" t="n">
        <f aca="false">D28*E28</f>
        <v>8</v>
      </c>
      <c r="G28" s="23" t="n">
        <f aca="false">F28*$B$17</f>
        <v>0.52</v>
      </c>
      <c r="H28" s="23" t="n">
        <f aca="false">F28*$B$18</f>
        <v>0.104</v>
      </c>
      <c r="I28" s="23" t="n">
        <f aca="false">F28*$B$19</f>
        <v>0.0264</v>
      </c>
      <c r="J28" s="5" t="s">
        <v>609</v>
      </c>
    </row>
    <row r="29" customFormat="false" ht="15" hidden="false" customHeight="false" outlineLevel="0" collapsed="false">
      <c r="A29" s="5" t="s">
        <v>610</v>
      </c>
      <c r="B29" s="5" t="s">
        <v>16</v>
      </c>
      <c r="C29" s="5" t="s">
        <v>599</v>
      </c>
      <c r="D29" s="22" t="n">
        <v>7</v>
      </c>
      <c r="E29" s="22" t="n">
        <v>3.5</v>
      </c>
      <c r="F29" s="5" t="n">
        <f aca="false">D29*E29</f>
        <v>24.5</v>
      </c>
      <c r="G29" s="23" t="n">
        <f aca="false">F29*$B$17</f>
        <v>1.5925</v>
      </c>
      <c r="H29" s="23" t="n">
        <f aca="false">F29*$B$18</f>
        <v>0.3185</v>
      </c>
      <c r="I29" s="23" t="n">
        <f aca="false">F29*$B$19</f>
        <v>0.08085</v>
      </c>
      <c r="J29" s="5" t="s">
        <v>611</v>
      </c>
    </row>
    <row r="30" customFormat="false" ht="15" hidden="false" customHeight="false" outlineLevel="0" collapsed="false">
      <c r="A30" s="5" t="s">
        <v>220</v>
      </c>
      <c r="B30" s="5" t="s">
        <v>20</v>
      </c>
      <c r="C30" s="5" t="s">
        <v>612</v>
      </c>
      <c r="D30" s="22" t="n">
        <v>1</v>
      </c>
      <c r="E30" s="22" t="n">
        <v>12</v>
      </c>
      <c r="F30" s="5" t="n">
        <f aca="false">D30*E30</f>
        <v>12</v>
      </c>
      <c r="G30" s="23" t="n">
        <f aca="false">F30*$B$17</f>
        <v>0.78</v>
      </c>
      <c r="H30" s="23" t="n">
        <f aca="false">F30*$B$18</f>
        <v>0.156</v>
      </c>
      <c r="I30" s="23" t="n">
        <f aca="false">F30*$B$19</f>
        <v>0.0396</v>
      </c>
      <c r="J30" s="5" t="s">
        <v>613</v>
      </c>
    </row>
    <row r="31" customFormat="false" ht="15" hidden="false" customHeight="false" outlineLevel="0" collapsed="false">
      <c r="A31" s="5" t="s">
        <v>227</v>
      </c>
      <c r="B31" s="5" t="s">
        <v>20</v>
      </c>
      <c r="C31" s="5" t="s">
        <v>614</v>
      </c>
      <c r="D31" s="22" t="n">
        <v>1</v>
      </c>
      <c r="E31" s="22" t="n">
        <v>7</v>
      </c>
      <c r="F31" s="5" t="n">
        <f aca="false">D31*E31</f>
        <v>7</v>
      </c>
      <c r="G31" s="23" t="n">
        <f aca="false">F31*$B$17</f>
        <v>0.455</v>
      </c>
      <c r="H31" s="23" t="n">
        <f aca="false">F31*$B$18</f>
        <v>0.091</v>
      </c>
      <c r="I31" s="23" t="n">
        <f aca="false">F31*$B$19</f>
        <v>0.0231</v>
      </c>
      <c r="J31" s="5" t="s">
        <v>615</v>
      </c>
    </row>
    <row r="32" customFormat="false" ht="15" hidden="false" customHeight="false" outlineLevel="0" collapsed="false">
      <c r="A32" s="24" t="s">
        <v>616</v>
      </c>
      <c r="B32" s="24"/>
      <c r="C32" s="24"/>
      <c r="D32" s="24" t="n">
        <f aca="false">SUM(D24:D31)</f>
        <v>26</v>
      </c>
      <c r="E32" s="24"/>
      <c r="F32" s="24" t="n">
        <f aca="false">SUM(F24:F31)</f>
        <v>118.5</v>
      </c>
      <c r="G32" s="25" t="n">
        <f aca="false">SUM(G24:G31)</f>
        <v>7.7025</v>
      </c>
      <c r="H32" s="25" t="n">
        <f aca="false">SUM(H24:H31)</f>
        <v>1.5405</v>
      </c>
      <c r="I32" s="25" t="n">
        <f aca="false">SUM(I24:I31)</f>
        <v>0.39105</v>
      </c>
      <c r="J32" s="24"/>
    </row>
    <row r="33" customFormat="false" ht="15" hidden="false" customHeight="false" outlineLevel="0" collapsed="false">
      <c r="A33" s="16" t="s">
        <v>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2026-10-03T22:26:53Z</dcterms:created>
  <dc:creator>openpyxl</dc:creator>
  <dc:description/>
  <dc:language>en-US</dc:language>
  <cp:lastModifiedBy/>
  <dcterms:modified xsi:type="dcterms:W3CDTF">2026-10-03T22:26:53Z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