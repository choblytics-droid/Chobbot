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1 Streamer Stories" sheetId="2" state="visible" r:id="rId4"/>
    <sheet name="2 Brand · Generic" sheetId="3" state="visible" r:id="rId5"/>
    <sheet name="3 Brand · Master" sheetId="4" state="visible" r:id="rId6"/>
    <sheet name="Assets" sheetId="5" state="visible" r:id="rId7"/>
  </sheets>
  <definedNames>
    <definedName function="false" hidden="true" localSheetId="1" name="_xlnm._FilterDatabase" vbProcedure="false">'1 Streamer Stories'!$A$4:$U$13</definedName>
    <definedName function="false" hidden="true" localSheetId="2" name="_xlnm._FilterDatabase" vbProcedure="false">'2 Brand · Generic'!$A$4:$V$20</definedName>
    <definedName function="false" hidden="true" localSheetId="3" name="_xlnm._FilterDatabase" vbProcedure="false">'3 Brand · Master'!$A$9:$I$14</definedName>
    <definedName function="false" hidden="true" localSheetId="4" name="_xlnm._FilterDatabase" vbProcedure="false">Assets!$A$4:$I$23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<sst xmlns="http://schemas.openxmlformats.org/spreadsheetml/2006/main" count="710" uniqueCount="322">
  <si>
    <t xml:space="preserve">Chobbot media plan · v0.1 (mockup)</t>
  </si>
  <si>
    <t xml:space="preserve">Read top to bottom, then work through the section tabs. Counts below update from the tabs.</t>
  </si>
  <si>
    <t xml:space="preserve">Sections</t>
  </si>
  <si>
    <t xml:space="preserve">Section</t>
  </si>
  <si>
    <t xml:space="preserve">Tab</t>
  </si>
  <si>
    <t xml:space="preserve">What it is</t>
  </si>
  <si>
    <t xml:space="preserve">Versions</t>
  </si>
  <si>
    <t xml:space="preserve">Films</t>
  </si>
  <si>
    <t xml:space="preserve">Scripts approved</t>
  </si>
  <si>
    <t xml:space="preserve">Music approved</t>
  </si>
  <si>
    <t xml:space="preserve">Rendered (approved)</t>
  </si>
  <si>
    <t xml:space="preserve">1 · Streamer Stories</t>
  </si>
  <si>
    <t xml:space="preserve">1 Streamer Stories</t>
  </si>
  <si>
    <t xml:space="preserve">Real Reddit stories → script → music → video. One art style per episode.</t>
  </si>
  <si>
    <t xml:space="preserve">MV only</t>
  </si>
  <si>
    <t xml:space="preserve">2 · Brand · Generic</t>
  </si>
  <si>
    <t xml:space="preserve">2 Brand · Generic</t>
  </si>
  <si>
    <t xml:space="preserve">One pain → need → function per film.</t>
  </si>
  <si>
    <t xml:space="preserve">A majestic technical · B music video</t>
  </si>
  <si>
    <t xml:space="preserve">3 · Brand · Master</t>
  </si>
  <si>
    <t xml:space="preserve">3 Brand · Master</t>
  </si>
  <si>
    <t xml:space="preserve">The whole ecosystem in one film.</t>
  </si>
  <si>
    <t xml:space="preserve">Work order (every film)</t>
  </si>
  <si>
    <t xml:space="preserve">1 Brief</t>
  </si>
  <si>
    <t xml:space="preserve">Nothing is built before its script is approved and its audio exists.</t>
  </si>
  <si>
    <t xml:space="preserve">2 Script</t>
  </si>
  <si>
    <t xml:space="preserve">3 Music (written to the approved script)</t>
  </si>
  <si>
    <t xml:space="preserve">4 Audio analysis</t>
  </si>
  <si>
    <t xml:space="preserve">5 Style frames</t>
  </si>
  <si>
    <t xml:space="preserve">6 Assets</t>
  </si>
  <si>
    <t xml:space="preserve">7 Animatic</t>
  </si>
  <si>
    <t xml:space="preserve">8 Build &amp; render</t>
  </si>
  <si>
    <t xml:space="preserve">Legend</t>
  </si>
  <si>
    <t xml:space="preserve">Yellow cells</t>
  </si>
  <si>
    <t xml:space="preserve">You fill these in (titles, links, dates, owners, notes).</t>
  </si>
  <si>
    <t xml:space="preserve">Grey italic row</t>
  </si>
  <si>
    <t xml:space="preserve">Example row showing the expected format. Delete it when you start.</t>
  </si>
  <si>
    <t xml:space="preserve">Status values (dropdown in every status column)</t>
  </si>
  <si>
    <t xml:space="preserve">Not started</t>
  </si>
  <si>
    <t xml:space="preserve">In progress</t>
  </si>
  <si>
    <t xml:space="preserve">Review</t>
  </si>
  <si>
    <t xml:space="preserve">Approved</t>
  </si>
  <si>
    <t xml:space="preserve">Blocked</t>
  </si>
  <si>
    <t xml:space="preserve">N/A</t>
  </si>
  <si>
    <t xml:space="preserve">Open items</t>
  </si>
  <si>
    <t xml:space="preserve">☐  Real product feature list (replaces every “(confirm)” in tab 2)</t>
  </si>
  <si>
    <t xml:space="preserve">☐  Brand tokens: colours, fonts, logo SVG (from the web design)</t>
  </si>
  <si>
    <t xml:space="preserve">☐  Pain-point ranking: goignon report + 10 streamer interviews (docs/USE_CASES.md §7)</t>
  </si>
  <si>
    <t xml:space="preserve">☐  Story Fisher: tune queries, then pick the first 3 stories for tab 1</t>
  </si>
  <si>
    <t xml:space="preserve">☐  Product structure decision (one app vs. separate apps) before the Master script</t>
  </si>
  <si>
    <t xml:space="preserve">☐  All statistics on screen verified at the primary source</t>
  </si>
  <si>
    <t xml:space="preserve">Source docs: brand-video/docs/ (SERIES, PIPELINE, USE_CASES, TIER_LIST, CONCEPT). Version 0.1, 2026-10-03.</t>
  </si>
  <si>
    <t xml:space="preserve">Section 1 · Streamer Stories (music videos)</t>
  </si>
  <si>
    <t xml:space="preserve">Method: Reddit story → script → music → video. Stories come from the n8n Story Fisher (table reddit_streamer_stories, status = new). One art style per episode; the companion only as a cameo.</t>
  </si>
  <si>
    <t xml:space="preserve">ID</t>
  </si>
  <si>
    <t xml:space="preserve">Working title</t>
  </si>
  <si>
    <t xml:space="preserve">Story source (Reddit link)</t>
  </si>
  <si>
    <t xml:space="preserve">Logline (facts only)</t>
  </si>
  <si>
    <t xml:space="preserve">Emotion</t>
  </si>
  <si>
    <t xml:space="preserve">Pain #s</t>
  </si>
  <si>
    <t xml:space="preserve">Persona</t>
  </si>
  <si>
    <t xml:space="preserve">Art style (variety)</t>
  </si>
  <si>
    <t xml:space="preserve">Song genre / tempo</t>
  </si>
  <si>
    <t xml:space="preserve">Format</t>
  </si>
  <si>
    <t xml:space="preserve">Length</t>
  </si>
  <si>
    <t xml:space="preserve">Rights / permission</t>
  </si>
  <si>
    <t xml:space="preserve">Script</t>
  </si>
  <si>
    <t xml:space="preserve">Music</t>
  </si>
  <si>
    <t xml:space="preserve">Assets</t>
  </si>
  <si>
    <t xml:space="preserve">Animatic</t>
  </si>
  <si>
    <t xml:space="preserve">Build &amp; render</t>
  </si>
  <si>
    <t xml:space="preserve">Publish date</t>
  </si>
  <si>
    <t xml:space="preserve">Platforms</t>
  </si>
  <si>
    <t xml:space="preserve">Owner</t>
  </si>
  <si>
    <t xml:space="preserve">Notes</t>
  </si>
  <si>
    <t xml:space="preserve">ST-EX</t>
  </si>
  <si>
    <t xml:space="preserve">EXAMPLE · “The lurker who said hi” (delete this row)</t>
  </si>
  <si>
    <t xml:space="preserve">https://www.reddit.com/r/Twitch/comments/xxxxxx/</t>
  </si>
  <si>
    <t xml:space="preserve">After 40 streams with no chat, a lurker types hi on the day the streamer planned to quit.</t>
  </si>
  <si>
    <t xml:space="preserve">wholesome</t>
  </si>
  <si>
    <t xml:space="preserve">1, 8, 16</t>
  </si>
  <si>
    <t xml:space="preserve">Starter</t>
  </si>
  <si>
    <t xml:space="preserve">Papercut</t>
  </si>
  <si>
    <t xml:space="preserve">Lo-fi into a hard drop, 128 BPM</t>
  </si>
  <si>
    <t xml:space="preserve">9:16 + 16:9</t>
  </si>
  <si>
    <t xml:space="preserve">45 s</t>
  </si>
  <si>
    <t xml:space="preserve">Asked author 2026-10-05, waiting</t>
  </si>
  <si>
    <t xml:space="preserve">TikTok, Shorts, Reels</t>
  </si>
  <si>
    <t xml:space="preserve">Example of the expected format</t>
  </si>
  <si>
    <t xml:space="preserve">ST-01</t>
  </si>
  <si>
    <t xml:space="preserve">Anime cel</t>
  </si>
  <si>
    <t xml:space="preserve">30–60 s</t>
  </si>
  <si>
    <t xml:space="preserve">Pick from the Story Fisher shortlist</t>
  </si>
  <si>
    <t xml:space="preserve">ST-02</t>
  </si>
  <si>
    <t xml:space="preserve">ST-03</t>
  </si>
  <si>
    <t xml:space="preserve">CRT / VHS</t>
  </si>
  <si>
    <t xml:space="preserve">ST-04</t>
  </si>
  <si>
    <t xml:space="preserve">Ukiyo-e print</t>
  </si>
  <si>
    <t xml:space="preserve">ST-05</t>
  </si>
  <si>
    <t xml:space="preserve">Crayon (child's drawing)</t>
  </si>
  <si>
    <t xml:space="preserve">ST-06</t>
  </si>
  <si>
    <t xml:space="preserve">Voxel diorama</t>
  </si>
  <si>
    <t xml:space="preserve">ST-07</t>
  </si>
  <si>
    <t xml:space="preserve">Stained glass</t>
  </si>
  <si>
    <t xml:space="preserve">ST-08</t>
  </si>
  <si>
    <t xml:space="preserve">Newspaper halftone</t>
  </si>
  <si>
    <t xml:space="preserve">Section 2 · Brand · Generic (pain → need → function)</t>
  </si>
  <si>
    <t xml:space="preserve">One use case per film. Every film has an A version (majestic, technical, score + statements) and a B version (music video with a song). Functions marked (confirm) are assumptions until the product list arrives.</t>
  </si>
  <si>
    <t xml:space="preserve">Version</t>
  </si>
  <si>
    <t xml:space="preserve">Use case</t>
  </si>
  <si>
    <t xml:space="preserve">Pain #</t>
  </si>
  <si>
    <t xml:space="preserve">The pain (their words)</t>
  </si>
  <si>
    <t xml:space="preserve">The need</t>
  </si>
  <si>
    <t xml:space="preserve">Function shown</t>
  </si>
  <si>
    <t xml:space="preserve">Product layer</t>
  </si>
  <si>
    <t xml:space="preserve">Direction / look</t>
  </si>
  <si>
    <t xml:space="preserve">One message</t>
  </si>
  <si>
    <t xml:space="preserve">Proof needed</t>
  </si>
  <si>
    <t xml:space="preserve">GN-U1A</t>
  </si>
  <si>
    <t xml:space="preserve">A</t>
  </si>
  <si>
    <t xml:space="preserve">“Hi?” → “Welcome back, Sam!”</t>
  </si>
  <si>
    <t xml:space="preserve">3</t>
  </si>
  <si>
    <t xml:space="preserve">“Someone said hi and I didn’t see it.”</t>
  </si>
  <si>
    <t xml:space="preserve">Never miss a newcomer</t>
  </si>
  <si>
    <t xml:space="preserve">Greets first-time chatters, flags them to the streamer (confirm)</t>
  </si>
  <si>
    <t xml:space="preserve">Live (free)</t>
  </si>
  <si>
    <t xml:space="preserve">A · Majestic technical: instrumental score, slow precise camera, exploded system view, one light (the companion)</t>
  </si>
  <si>
    <t xml:space="preserve">Returning-newcomer count</t>
  </si>
  <si>
    <t xml:space="preserve">9:16 first, 16:9</t>
  </si>
  <si>
    <t xml:space="preserve">30–45 s</t>
  </si>
  <si>
    <t xml:space="preserve">GN-U1B</t>
  </si>
  <si>
    <t xml:space="preserve">B</t>
  </si>
  <si>
    <t xml:space="preserve">B · Music video: song written from the script, the streamer’s room, kinetic word-synced lyrics</t>
  </si>
  <si>
    <t xml:space="preserve">20–45 s</t>
  </si>
  <si>
    <t xml:space="preserve">GN-U2A</t>
  </si>
  <si>
    <t xml:space="preserve">The 40th “what rank are you?”</t>
  </si>
  <si>
    <t xml:space="preserve">Grinder</t>
  </si>
  <si>
    <t xml:space="preserve">4</t>
  </si>
  <si>
    <t xml:space="preserve">“Chat asks the same question 40 times.”</t>
  </si>
  <si>
    <t xml:space="preserve">Answers without stopping play</t>
  </si>
  <si>
    <t xml:space="preserve">Answers FAQs in the streamer’s tone (confirm)</t>
  </si>
  <si>
    <t xml:space="preserve">Questions answered by the bot</t>
  </si>
  <si>
    <t xml:space="preserve">GN-U2B</t>
  </si>
  <si>
    <t xml:space="preserve">GN-U3A</t>
  </si>
  <si>
    <t xml:space="preserve">Raid at 2 AM</t>
  </si>
  <si>
    <t xml:space="preserve">Grinder, Juggler</t>
  </si>
  <si>
    <t xml:space="preserve">6</t>
  </si>
  <si>
    <t xml:space="preserve">“Spam and hate raids hit when I’m alone.”</t>
  </si>
  <si>
    <t xml:space="preserve">Protection when no mod is online</t>
  </si>
  <si>
    <t xml:space="preserve">Filters spam, calm raid handling, logs for mods (confirm)</t>
  </si>
  <si>
    <t xml:space="preserve">Messages blocked, time to calm</t>
  </si>
  <si>
    <t xml:space="preserve">GN-U3B</t>
  </si>
  <si>
    <t xml:space="preserve">GN-U4A</t>
  </si>
  <si>
    <t xml:space="preserve">The 1:12 mystery</t>
  </si>
  <si>
    <t xml:space="preserve">9</t>
  </si>
  <si>
    <t xml:space="preserve">“Why did everyone leave at 1:12?”</t>
  </si>
  <si>
    <t xml:space="preserve">See the cause</t>
  </si>
  <si>
    <t xml:space="preserve">Retention report aligned with chat and stream (confirm)</t>
  </si>
  <si>
    <t xml:space="preserve">Insights (sub)</t>
  </si>
  <si>
    <t xml:space="preserve">The aligned graph</t>
  </si>
  <si>
    <t xml:space="preserve">GN-U4B</t>
  </si>
  <si>
    <t xml:space="preserve">GN-U5A</t>
  </si>
  <si>
    <t xml:space="preserve">4 hours → 4 clips</t>
  </si>
  <si>
    <t xml:space="preserve">Part-timer</t>
  </si>
  <si>
    <t xml:space="preserve">10</t>
  </si>
  <si>
    <t xml:space="preserve">“I’d have to rewatch 4 hours of VOD.”</t>
  </si>
  <si>
    <t xml:space="preserve">Best moments found for me</t>
  </si>
  <si>
    <t xml:space="preserve">Highlights from chat spikes (confirm)</t>
  </si>
  <si>
    <t xml:space="preserve">Minutes saved</t>
  </si>
  <si>
    <t xml:space="preserve">GN-U5B</t>
  </si>
  <si>
    <t xml:space="preserve">GN-U6A</t>
  </si>
  <si>
    <t xml:space="preserve">“What should I change?”</t>
  </si>
  <si>
    <t xml:space="preserve">Grinder, Pro</t>
  </si>
  <si>
    <t xml:space="preserve">12</t>
  </si>
  <si>
    <t xml:space="preserve">“Analytics pages are just numbers.”</t>
  </si>
  <si>
    <t xml:space="preserve">Answers, not charts</t>
  </si>
  <si>
    <t xml:space="preserve">Ask the analyst bot</t>
  </si>
  <si>
    <t xml:space="preserve">Next week vs this week</t>
  </si>
  <si>
    <t xml:space="preserve">GN-U6B</t>
  </si>
  <si>
    <t xml:space="preserve">GN-U7A</t>
  </si>
  <si>
    <t xml:space="preserve">The running joke</t>
  </si>
  <si>
    <t xml:space="preserve">All</t>
  </si>
  <si>
    <t xml:space="preserve">14</t>
  </si>
  <si>
    <t xml:space="preserve">“Every stream starts from zero.”</t>
  </si>
  <si>
    <t xml:space="preserve">Something that remembers</t>
  </si>
  <si>
    <t xml:space="preserve">Companion remembers regulars, jokes, milestones</t>
  </si>
  <si>
    <t xml:space="preserve">Companion (merged)</t>
  </si>
  <si>
    <t xml:space="preserve">Chat reaction</t>
  </si>
  <si>
    <t xml:space="preserve">GN-U7B</t>
  </si>
  <si>
    <t xml:space="preserve">GN-U8A</t>
  </si>
  <si>
    <t xml:space="preserve">Friday sponsor report</t>
  </si>
  <si>
    <t xml:space="preserve">Pro, Juggler</t>
  </si>
  <si>
    <t xml:space="preserve">13</t>
  </si>
  <si>
    <t xml:space="preserve">“A sponsor wants a report by Friday.”</t>
  </si>
  <si>
    <t xml:space="preserve">A report I can send</t>
  </si>
  <si>
    <t xml:space="preserve">Shareable report (confirm)</t>
  </si>
  <si>
    <t xml:space="preserve">Time from request to sent</t>
  </si>
  <si>
    <t xml:space="preserve">GN-U8B</t>
  </si>
  <si>
    <t xml:space="preserve">Section 3 · Brand · Master (one film, two versions)</t>
  </si>
  <si>
    <t xml:space="preserve">The whole ecosystem in one film: the companion is born (Live), remembers (Insights), grows (Companion). Built last, from the assets of sections 1 and 2. Waits for the final design and the product-structure decision.</t>
  </si>
  <si>
    <t xml:space="preserve">Sound</t>
  </si>
  <si>
    <t xml:space="preserve">Quality level</t>
  </si>
  <si>
    <t xml:space="preserve">MA-A</t>
  </si>
  <si>
    <t xml:space="preserve">Majestic technical: a new era, a second brain for every creator; scale from one desk to a planet of lit windows</t>
  </si>
  <si>
    <t xml:space="preserve">Instrumental score + statements / voice-over</t>
  </si>
  <si>
    <t xml:space="preserve">60–90 s</t>
  </si>
  <si>
    <t xml:space="preserve">16:9 hero + 9:16 cut</t>
  </si>
  <si>
    <t xml:space="preserve">Level 7–8 (depth)</t>
  </si>
  <si>
    <t xml:space="preserve">Five movements below</t>
  </si>
  <si>
    <t xml:space="preserve">MA-B</t>
  </si>
  <si>
    <t xml:space="preserve">Music video: one streamer, one companion, months of streams; the song carries the story</t>
  </si>
  <si>
    <t xml:space="preserve">Song (lyrics from the script)</t>
  </si>
  <si>
    <t xml:space="preserve">Level 6–8 (mixed)</t>
  </si>
  <si>
    <t xml:space="preserve">Same beats, different sound and pace</t>
  </si>
  <si>
    <t xml:space="preserve">Movement breakdown (draft for discussion)</t>
  </si>
  <si>
    <t xml:space="preserve">#</t>
  </si>
  <si>
    <t xml:space="preserve">Movement</t>
  </si>
  <si>
    <t xml:space="preserve">Picture</t>
  </si>
  <si>
    <t xml:space="preserve">A · statement (draft)</t>
  </si>
  <si>
    <t xml:space="preserve">B · lyric idea</t>
  </si>
  <si>
    <t xml:space="preserve">Pain / layer shown</t>
  </si>
  <si>
    <t xml:space="preserve">Key assets</t>
  </si>
  <si>
    <t xml:space="preserve">Status</t>
  </si>
  <si>
    <t xml:space="preserve">Alone</t>
  </si>
  <si>
    <t xml:space="preserve">One streamer, one screen in the dark; pull back through the window to a city, then a planet of lit windows</t>
  </si>
  <si>
    <t xml:space="preserve">“Every night, millions create alone.”</t>
  </si>
  <si>
    <t xml:space="preserve">The empty chat, the quiet room</t>
  </si>
  <si>
    <t xml:space="preserve">Pains 1, 8</t>
  </si>
  <si>
    <t xml:space="preserve">Streamer room, planet of windows</t>
  </si>
  <si>
    <t xml:space="preserve">The spark</t>
  </si>
  <si>
    <t xml:space="preserve">One window turns warm: the companion is born, free and open</t>
  </si>
  <si>
    <t xml:space="preserve">“Until now.”</t>
  </si>
  <si>
    <t xml:space="preserve">Hook: the first hello</t>
  </si>
  <si>
    <t xml:space="preserve">Companion stage 1</t>
  </si>
  <si>
    <t xml:space="preserve">The architecture</t>
  </si>
  <si>
    <t xml:space="preserve">Flythrough of the system: live chat → stream data → reports → memory</t>
  </si>
  <si>
    <t xml:space="preserve">“It listens. It learns. It remembers.”</t>
  </si>
  <si>
    <t xml:space="preserve">Verse: what it does for you</t>
  </si>
  <si>
    <t xml:space="preserve">Insights</t>
  </si>
  <si>
    <t xml:space="preserve">Exploded system view, UI stand-ins</t>
  </si>
  <si>
    <t xml:space="preserve">The second brain</t>
  </si>
  <si>
    <t xml:space="preserve">The memory ring grows into a constellation around the streamer</t>
  </si>
  <si>
    <t xml:space="preserve">“Not a tool. A second brain.”</t>
  </si>
  <si>
    <t xml:space="preserve">Bridge: it remembers your people</t>
  </si>
  <si>
    <t xml:space="preserve">Companion stages 2–3, constellation</t>
  </si>
  <si>
    <t xml:space="preserve">A new era</t>
  </si>
  <si>
    <t xml:space="preserve">Window after window lights warm; the logo</t>
  </si>
  <si>
    <t xml:space="preserve">“A companion for every creator.”</t>
  </si>
  <si>
    <t xml:space="preserve">Final chorus + sonic logo</t>
  </si>
  <si>
    <t xml:space="preserve">End card, sonic logo</t>
  </si>
  <si>
    <t xml:space="preserve">Shared assets</t>
  </si>
  <si>
    <t xml:space="preserve">Built once, used by every section. Everything is code-rendered unless the source says otherwise.</t>
  </si>
  <si>
    <t xml:space="preserve">Asset</t>
  </si>
  <si>
    <t xml:space="preserve">Type</t>
  </si>
  <si>
    <t xml:space="preserve">Used by</t>
  </si>
  <si>
    <t xml:space="preserve">Source</t>
  </si>
  <si>
    <t xml:space="preserve">Depends on</t>
  </si>
  <si>
    <t xml:space="preserve">Due</t>
  </si>
  <si>
    <t xml:space="preserve">Brand palette tokens</t>
  </si>
  <si>
    <t xml:space="preserve">Brand</t>
  </si>
  <si>
    <t xml:space="preserve">Your web design → one palette file</t>
  </si>
  <si>
    <t xml:space="preserve">Web design</t>
  </si>
  <si>
    <t xml:space="preserve">Placeholder until the design lands</t>
  </si>
  <si>
    <t xml:space="preserve">Fonts (display + mono)</t>
  </si>
  <si>
    <t xml:space="preserve">Your web design</t>
  </si>
  <si>
    <t xml:space="preserve">Logo (SVG) + wordmark</t>
  </si>
  <si>
    <t xml:space="preserve">You</t>
  </si>
  <si>
    <t xml:space="preserve">End card</t>
  </si>
  <si>
    <t xml:space="preserve">Code</t>
  </si>
  <si>
    <t xml:space="preserve">Logo, palette</t>
  </si>
  <si>
    <t xml:space="preserve">Same in every video</t>
  </si>
  <si>
    <t xml:space="preserve">Sonic logo (2 s)</t>
  </si>
  <si>
    <t xml:space="preserve">Music partner / Suno</t>
  </si>
  <si>
    <t xml:space="preserve">Ends every video</t>
  </si>
  <si>
    <t xml:space="preserve">Companion · stage 1 (spark)</t>
  </si>
  <si>
    <t xml:space="preserve">Character</t>
  </si>
  <si>
    <t xml:space="preserve">Palette</t>
  </si>
  <si>
    <t xml:space="preserve">Live app</t>
  </si>
  <si>
    <t xml:space="preserve">Companion · stage 2 (memory ring)</t>
  </si>
  <si>
    <t xml:space="preserve">Generic, Master</t>
  </si>
  <si>
    <t xml:space="preserve">Stage 1</t>
  </si>
  <si>
    <t xml:space="preserve">Companion · stage 3 (full form)</t>
  </si>
  <si>
    <t xml:space="preserve">Stage 2</t>
  </si>
  <si>
    <t xml:space="preserve">Merged companion; mascot art if you have one</t>
  </si>
  <si>
    <t xml:space="preserve">Streamer (silhouette, hoodie, headset)</t>
  </si>
  <si>
    <t xml:space="preserve">No face, so anyone sees themselves</t>
  </si>
  <si>
    <t xml:space="preserve">Set · streamer’s room</t>
  </si>
  <si>
    <t xml:space="preserve">Set</t>
  </si>
  <si>
    <t xml:space="preserve">Generic B, Master</t>
  </si>
  <si>
    <t xml:space="preserve">Monitor light, window god rays</t>
  </si>
  <si>
    <t xml:space="preserve">Set · planet / city of windows</t>
  </si>
  <si>
    <t xml:space="preserve">Generic A, Master A</t>
  </si>
  <si>
    <t xml:space="preserve">Hero shot</t>
  </si>
  <si>
    <t xml:space="preserve">Exploded system view</t>
  </si>
  <si>
    <t xml:space="preserve">Product structure</t>
  </si>
  <si>
    <t xml:space="preserve">Live → data → Insights → memory</t>
  </si>
  <si>
    <t xml:space="preserve">Chat UI (generic, ours)</t>
  </si>
  <si>
    <t xml:space="preserve">UI</t>
  </si>
  <si>
    <t xml:space="preserve">Never a real platform’s UI</t>
  </si>
  <si>
    <t xml:space="preserve">Product UI screens</t>
  </si>
  <si>
    <t xml:space="preserve">Your web design (stand-ins until then)</t>
  </si>
  <si>
    <t xml:space="preserve">Story Fisher (n8n)</t>
  </si>
  <si>
    <t xml:space="preserve">Pipeline</t>
  </si>
  <si>
    <t xml:space="preserve">Stories</t>
  </si>
  <si>
    <t xml:space="preserve">n8n workflow JuU4QgIrT1o10zO1</t>
  </si>
  <si>
    <t xml:space="preserve">Brave + PullPush + DeepSeek</t>
  </si>
  <si>
    <t xml:space="preserve">Built; queries being tuned</t>
  </si>
  <si>
    <t xml:space="preserve">Songs (one per film)</t>
  </si>
  <si>
    <t xml:space="preserve">Stories, Generic B, Master B</t>
  </si>
  <si>
    <t xml:space="preserve">You (Suno / partner)</t>
  </si>
  <si>
    <t xml:space="preserve">Approved script</t>
  </si>
  <si>
    <t xml:space="preserve">Written to the approved script</t>
  </si>
  <si>
    <t xml:space="preserve">Scores (A versions)</t>
  </si>
  <si>
    <t xml:space="preserve">Instrumental</t>
  </si>
  <si>
    <t xml:space="preserve">Voice-over (optional)</t>
  </si>
  <si>
    <t xml:space="preserve">TBD</t>
  </si>
  <si>
    <t xml:space="preserve">Disclose if AI voice</t>
  </si>
  <si>
    <t xml:space="preserve">Proof: beta user numbers + quotes</t>
  </si>
  <si>
    <t xml:space="preserve">Proof</t>
  </si>
  <si>
    <t xml:space="preserve">Generic</t>
  </si>
  <si>
    <t xml:space="preserve">Beta users</t>
  </si>
  <si>
    <t xml:space="preserve">No invented numbers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</si>
</sst>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430"/>
      <name val="Arial"/>
      <family val="0"/>
      <charset val="1"/>
    </font>
    <font>
      <i val="true"/>
      <sz val="10"/>
      <color rgb="FF5B6170"/>
      <name val="Arial"/>
      <family val="0"/>
      <charset val="1"/>
    </font>
    <font>
      <b val="true"/>
      <sz val="12"/>
      <color rgb="FF1F24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430"/>
      <name val="Arial"/>
      <family val="0"/>
      <charset val="1"/>
    </font>
    <font>
      <b val="true"/>
      <sz val="10"/>
      <color rgb="FF1F2430"/>
      <name val="Arial"/>
      <family val="0"/>
      <charset val="1"/>
    </font>
    <font>
      <i val="true"/>
      <sz val="9"/>
      <color rgb="FF5B6170"/>
      <name val="Arial"/>
      <family val="0"/>
      <charset val="1"/>
    </font>
    <font>
      <i val="true"/>
      <sz val="10"/>
      <color rgb="FF1F243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2430"/>
        <bgColor rgb="FF333300"/>
      </patternFill>
    </fill>
    <fill>
      <patternFill patternType="solid">
        <fgColor rgb="FFFFF4CC"/>
        <bgColor rgb="FFFFE7B3"/>
      </patternFill>
    </fill>
    <fill>
      <patternFill patternType="solid">
        <fgColor rgb="FFF3F3F3"/>
        <bgColor rgb="FFEEEEEE"/>
      </patternFill>
    </fill>
    <fill>
      <patternFill patternType="solid">
        <fgColor rgb="FFFFFFFF"/>
        <bgColor rgb="FFF3F3F3"/>
      </patternFill>
    </fill>
    <fill>
      <patternFill patternType="solid">
        <fgColor rgb="FFDCEBFF"/>
        <bgColor rgb="FFEEEEEE"/>
      </patternFill>
    </fill>
    <fill>
      <patternFill patternType="solid">
        <fgColor rgb="FFFFE7B3"/>
        <bgColor rgb="FFFFF4CC"/>
      </patternFill>
    </fill>
    <fill>
      <patternFill patternType="solid">
        <fgColor rgb="FFD5F2DC"/>
        <bgColor rgb="FFDCEBFF"/>
      </patternFill>
    </fill>
    <fill>
      <patternFill patternType="solid">
        <fgColor rgb="FFF8D3D3"/>
        <bgColor rgb="FFFFE7B3"/>
      </patternFill>
    </fill>
    <fill>
      <patternFill patternType="solid">
        <fgColor rgb="FFEEEEEE"/>
        <bgColor rgb="FFF3F3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2430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DCEBFF"/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EBFF"/>
        </patternFill>
      </fill>
    </dxf>
    <dxf>
      <fill>
        <patternFill>
          <bgColor rgb="FFFFE7B3"/>
        </patternFill>
      </fill>
    </dxf>
    <dxf>
      <fill>
        <patternFill>
          <bgColor rgb="FFD5F2DC"/>
        </patternFill>
      </fill>
    </dxf>
    <dxf>
      <fill>
        <patternFill>
          <bgColor rgb="FFF8D3D3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3F3F3"/>
      <rgbColor rgb="FF808080"/>
      <rgbColor rgb="FF9999FF"/>
      <rgbColor rgb="FF993366"/>
      <rgbColor rgb="FFFFF4CC"/>
      <rgbColor rgb="FFDCEBFF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5F2DC"/>
      <rgbColor rgb="FFFFE7B3"/>
      <rgbColor rgb="FF99CCFF"/>
      <rgbColor rgb="FFFF99CC"/>
      <rgbColor rgb="FFCC99FF"/>
      <rgbColor rgb="FFF8D3D3"/>
      <rgbColor rgb="FF7A5AF8"/>
      <rgbColor rgb="FF33CCCC"/>
      <rgbColor rgb="FF99CC00"/>
      <rgbColor rgb="FFFFCC00"/>
      <rgbColor rgb="FFFFB224"/>
      <rgbColor rgb="FFE5484D"/>
      <rgbColor rgb="FF5B61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430"/>
    <pageSetUpPr fitToPage="fals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7" min="6" style="0" width="15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n">
        <f aca="false">COUNTA('1 Streamer Stories'!A6:A13)</f>
        <v>8</v>
      </c>
      <c r="F6" s="5" t="n">
        <f aca="false">COUNTIF('1 Streamer Stories'!M6:M13,"Approved")</f>
        <v>0</v>
      </c>
      <c r="G6" s="5" t="n">
        <f aca="false">COUNTIF('1 Streamer Stories'!N6:N13,"Approved")</f>
        <v>0</v>
      </c>
      <c r="H6" s="5" t="n">
        <f aca="false">COUNTIF('1 Streamer Stories'!Q6:Q13,"Approved")</f>
        <v>0</v>
      </c>
    </row>
    <row r="7" customFormat="false" ht="15" hidden="false" customHeight="false" outlineLevel="0" collapsed="false">
      <c r="A7" s="5" t="s">
        <v>15</v>
      </c>
      <c r="B7" s="5" t="s">
        <v>16</v>
      </c>
      <c r="C7" s="5" t="s">
        <v>17</v>
      </c>
      <c r="D7" s="5" t="s">
        <v>18</v>
      </c>
      <c r="E7" s="5" t="n">
        <f aca="false">COUNTA('2 Brand · Generic'!A5:A20)</f>
        <v>16</v>
      </c>
      <c r="F7" s="5" t="n">
        <f aca="false">COUNTIF('2 Brand · Generic'!O5:O20,"Approved")</f>
        <v>0</v>
      </c>
      <c r="G7" s="5" t="n">
        <f aca="false">COUNTIF('2 Brand · Generic'!P5:P20,"Approved")</f>
        <v>0</v>
      </c>
      <c r="H7" s="5" t="n">
        <f aca="false">COUNTIF('2 Brand · Generic'!S5:S20,"Approved")</f>
        <v>0</v>
      </c>
    </row>
    <row r="8" customFormat="false" ht="15" hidden="false" customHeight="false" outlineLevel="0" collapsed="false">
      <c r="A8" s="5" t="s">
        <v>19</v>
      </c>
      <c r="B8" s="5" t="s">
        <v>20</v>
      </c>
      <c r="C8" s="5" t="s">
        <v>21</v>
      </c>
      <c r="D8" s="5" t="s">
        <v>18</v>
      </c>
      <c r="E8" s="5" t="n">
        <f aca="false">COUNTA('3 Brand · Master'!A5:A6)</f>
        <v>2</v>
      </c>
      <c r="F8" s="5" t="n">
        <f aca="false">COUNTIF('3 Brand · Master'!H5:H6,"Approved")</f>
        <v>0</v>
      </c>
      <c r="G8" s="5" t="n">
        <f aca="false">COUNTIF('3 Brand · Master'!I5:I6,"Approved")</f>
        <v>0</v>
      </c>
      <c r="H8" s="5" t="n">
        <f aca="false">COUNTIF('3 Brand · Master'!L5:L6,"Approved")</f>
        <v>0</v>
      </c>
    </row>
    <row r="10" customFormat="false" ht="15" hidden="false" customHeight="false" outlineLevel="0" collapsed="false">
      <c r="A10" s="3" t="s">
        <v>22</v>
      </c>
    </row>
    <row r="11" customFormat="false" ht="15" hidden="false" customHeight="false" outlineLevel="0" collapsed="false">
      <c r="A11" s="6" t="s">
        <v>23</v>
      </c>
      <c r="C11" s="2" t="s">
        <v>24</v>
      </c>
    </row>
    <row r="12" customFormat="false" ht="15" hidden="false" customHeight="false" outlineLevel="0" collapsed="false">
      <c r="A12" s="6" t="s">
        <v>25</v>
      </c>
    </row>
    <row r="13" customFormat="false" ht="15" hidden="false" customHeight="false" outlineLevel="0" collapsed="false">
      <c r="A13" s="6" t="s">
        <v>26</v>
      </c>
    </row>
    <row r="14" customFormat="false" ht="15" hidden="false" customHeight="false" outlineLevel="0" collapsed="false">
      <c r="A14" s="6" t="s">
        <v>27</v>
      </c>
    </row>
    <row r="15" customFormat="false" ht="15" hidden="false" customHeight="false" outlineLevel="0" collapsed="false">
      <c r="A15" s="6" t="s">
        <v>28</v>
      </c>
    </row>
    <row r="16" customFormat="false" ht="15" hidden="false" customHeight="false" outlineLevel="0" collapsed="false">
      <c r="A16" s="6" t="s">
        <v>29</v>
      </c>
    </row>
    <row r="17" customFormat="false" ht="15" hidden="false" customHeight="false" outlineLevel="0" collapsed="false">
      <c r="A17" s="6" t="s">
        <v>30</v>
      </c>
    </row>
    <row r="18" customFormat="false" ht="15" hidden="false" customHeight="false" outlineLevel="0" collapsed="false">
      <c r="A18" s="6" t="s">
        <v>31</v>
      </c>
    </row>
    <row r="21" customFormat="false" ht="15" hidden="false" customHeight="false" outlineLevel="0" collapsed="false">
      <c r="A21" s="3" t="s">
        <v>32</v>
      </c>
    </row>
    <row r="22" customFormat="false" ht="15" hidden="false" customHeight="false" outlineLevel="0" collapsed="false">
      <c r="A22" s="7" t="s">
        <v>33</v>
      </c>
      <c r="C22" s="6" t="s">
        <v>34</v>
      </c>
    </row>
    <row r="23" customFormat="false" ht="15" hidden="false" customHeight="false" outlineLevel="0" collapsed="false">
      <c r="A23" s="8" t="s">
        <v>35</v>
      </c>
      <c r="C23" s="6" t="s">
        <v>36</v>
      </c>
    </row>
    <row r="25" customFormat="false" ht="15" hidden="false" customHeight="false" outlineLevel="0" collapsed="false">
      <c r="A25" s="9" t="s">
        <v>37</v>
      </c>
    </row>
    <row r="26" customFormat="false" ht="15" hidden="false" customHeight="false" outlineLevel="0" collapsed="false">
      <c r="A26" s="10" t="s">
        <v>38</v>
      </c>
    </row>
    <row r="27" customFormat="false" ht="15" hidden="false" customHeight="false" outlineLevel="0" collapsed="false">
      <c r="A27" s="11" t="s">
        <v>39</v>
      </c>
    </row>
    <row r="28" customFormat="false" ht="15" hidden="false" customHeight="false" outlineLevel="0" collapsed="false">
      <c r="A28" s="12" t="s">
        <v>40</v>
      </c>
    </row>
    <row r="29" customFormat="false" ht="15" hidden="false" customHeight="false" outlineLevel="0" collapsed="false">
      <c r="A29" s="13" t="s">
        <v>41</v>
      </c>
    </row>
    <row r="30" customFormat="false" ht="15" hidden="false" customHeight="false" outlineLevel="0" collapsed="false">
      <c r="A30" s="14" t="s">
        <v>42</v>
      </c>
    </row>
    <row r="31" customFormat="false" ht="15" hidden="false" customHeight="false" outlineLevel="0" collapsed="false">
      <c r="A31" s="15" t="s">
        <v>43</v>
      </c>
    </row>
    <row r="34" customFormat="false" ht="15" hidden="false" customHeight="false" outlineLevel="0" collapsed="false">
      <c r="A34" s="3" t="s">
        <v>44</v>
      </c>
    </row>
    <row r="35" customFormat="false" ht="15" hidden="false" customHeight="false" outlineLevel="0" collapsed="false">
      <c r="A35" s="6" t="s">
        <v>45</v>
      </c>
    </row>
    <row r="36" customFormat="false" ht="15" hidden="false" customHeight="false" outlineLevel="0" collapsed="false">
      <c r="A36" s="6" t="s">
        <v>46</v>
      </c>
    </row>
    <row r="37" customFormat="false" ht="15" hidden="false" customHeight="false" outlineLevel="0" collapsed="false">
      <c r="A37" s="6" t="s">
        <v>47</v>
      </c>
    </row>
    <row r="38" customFormat="false" ht="15" hidden="false" customHeight="false" outlineLevel="0" collapsed="false">
      <c r="A38" s="6" t="s">
        <v>48</v>
      </c>
    </row>
    <row r="39" customFormat="false" ht="15" hidden="false" customHeight="false" outlineLevel="0" collapsed="false">
      <c r="A39" s="6" t="s">
        <v>49</v>
      </c>
    </row>
    <row r="40" customFormat="false" ht="15" hidden="false" customHeight="false" outlineLevel="0" collapsed="false">
      <c r="A40" s="6" t="s">
        <v>50</v>
      </c>
    </row>
    <row r="42" customFormat="false" ht="15" hidden="false" customHeight="false" outlineLevel="0" collapsed="false">
      <c r="A42" s="1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AF8"/>
    <pageSetUpPr fitToPage="false"/>
  </sheetPr>
  <dimension ref="A1:U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6" min="13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8"/>
    <col collapsed="false" customWidth="true" hidden="false" outlineLevel="0" max="20" min="20" style="0" width="12"/>
    <col collapsed="false" customWidth="true" hidden="false" outlineLevel="0" max="21" min="21" style="0" width="30"/>
  </cols>
  <sheetData>
    <row r="1" customFormat="false" ht="25.5" hidden="false" customHeight="tru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31.5" hidden="false" customHeight="true" outlineLevel="0" collapsed="false">
      <c r="A4" s="4" t="s">
        <v>54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  <c r="I4" s="4" t="s">
        <v>62</v>
      </c>
      <c r="J4" s="4" t="s">
        <v>63</v>
      </c>
      <c r="K4" s="4" t="s">
        <v>64</v>
      </c>
      <c r="L4" s="4" t="s">
        <v>65</v>
      </c>
      <c r="M4" s="4" t="s">
        <v>66</v>
      </c>
      <c r="N4" s="4" t="s">
        <v>67</v>
      </c>
      <c r="O4" s="4" t="s">
        <v>68</v>
      </c>
      <c r="P4" s="4" t="s">
        <v>69</v>
      </c>
      <c r="Q4" s="4" t="s">
        <v>70</v>
      </c>
      <c r="R4" s="4" t="s">
        <v>71</v>
      </c>
      <c r="S4" s="4" t="s">
        <v>72</v>
      </c>
      <c r="T4" s="4" t="s">
        <v>73</v>
      </c>
      <c r="U4" s="4" t="s">
        <v>74</v>
      </c>
    </row>
    <row r="5" customFormat="false" ht="23.85" hidden="false" customHeight="false" outlineLevel="0" collapsed="false">
      <c r="A5" s="17" t="s">
        <v>75</v>
      </c>
      <c r="B5" s="17" t="s">
        <v>76</v>
      </c>
      <c r="C5" s="17" t="s">
        <v>77</v>
      </c>
      <c r="D5" s="17" t="s">
        <v>78</v>
      </c>
      <c r="E5" s="17" t="s">
        <v>79</v>
      </c>
      <c r="F5" s="17" t="s">
        <v>80</v>
      </c>
      <c r="G5" s="17" t="s">
        <v>81</v>
      </c>
      <c r="H5" s="17" t="s">
        <v>82</v>
      </c>
      <c r="I5" s="17" t="s">
        <v>83</v>
      </c>
      <c r="J5" s="17" t="s">
        <v>84</v>
      </c>
      <c r="K5" s="17" t="s">
        <v>85</v>
      </c>
      <c r="L5" s="17" t="s">
        <v>86</v>
      </c>
      <c r="M5" s="17" t="s">
        <v>39</v>
      </c>
      <c r="N5" s="17" t="s">
        <v>38</v>
      </c>
      <c r="O5" s="17" t="s">
        <v>38</v>
      </c>
      <c r="P5" s="17" t="s">
        <v>38</v>
      </c>
      <c r="Q5" s="17" t="s">
        <v>38</v>
      </c>
      <c r="R5" s="17"/>
      <c r="S5" s="17" t="s">
        <v>87</v>
      </c>
      <c r="T5" s="17"/>
      <c r="U5" s="17" t="s">
        <v>88</v>
      </c>
    </row>
    <row r="6" customFormat="false" ht="15" hidden="false" customHeight="false" outlineLevel="0" collapsed="false">
      <c r="A6" s="5" t="s">
        <v>89</v>
      </c>
      <c r="B6" s="18"/>
      <c r="C6" s="18"/>
      <c r="D6" s="18"/>
      <c r="E6" s="18"/>
      <c r="F6" s="18"/>
      <c r="G6" s="18"/>
      <c r="H6" s="5" t="s">
        <v>90</v>
      </c>
      <c r="I6" s="18"/>
      <c r="J6" s="5" t="s">
        <v>84</v>
      </c>
      <c r="K6" s="5" t="s">
        <v>91</v>
      </c>
      <c r="L6" s="18"/>
      <c r="M6" s="5" t="s">
        <v>38</v>
      </c>
      <c r="N6" s="5" t="s">
        <v>38</v>
      </c>
      <c r="O6" s="5" t="s">
        <v>38</v>
      </c>
      <c r="P6" s="5" t="s">
        <v>38</v>
      </c>
      <c r="Q6" s="5" t="s">
        <v>38</v>
      </c>
      <c r="R6" s="18"/>
      <c r="S6" s="5"/>
      <c r="T6" s="18"/>
      <c r="U6" s="18" t="s">
        <v>92</v>
      </c>
    </row>
    <row r="7" customFormat="false" ht="15" hidden="false" customHeight="false" outlineLevel="0" collapsed="false">
      <c r="A7" s="5" t="s">
        <v>93</v>
      </c>
      <c r="B7" s="18"/>
      <c r="C7" s="18"/>
      <c r="D7" s="18"/>
      <c r="E7" s="18"/>
      <c r="F7" s="18"/>
      <c r="G7" s="18"/>
      <c r="H7" s="5" t="s">
        <v>82</v>
      </c>
      <c r="I7" s="18"/>
      <c r="J7" s="5" t="s">
        <v>84</v>
      </c>
      <c r="K7" s="5" t="s">
        <v>91</v>
      </c>
      <c r="L7" s="18"/>
      <c r="M7" s="5" t="s">
        <v>38</v>
      </c>
      <c r="N7" s="5" t="s">
        <v>38</v>
      </c>
      <c r="O7" s="5" t="s">
        <v>38</v>
      </c>
      <c r="P7" s="5" t="s">
        <v>38</v>
      </c>
      <c r="Q7" s="5" t="s">
        <v>38</v>
      </c>
      <c r="R7" s="18"/>
      <c r="S7" s="5"/>
      <c r="T7" s="18"/>
      <c r="U7" s="18" t="s">
        <v>92</v>
      </c>
    </row>
    <row r="8" customFormat="false" ht="15" hidden="false" customHeight="false" outlineLevel="0" collapsed="false">
      <c r="A8" s="5" t="s">
        <v>94</v>
      </c>
      <c r="B8" s="18"/>
      <c r="C8" s="18"/>
      <c r="D8" s="18"/>
      <c r="E8" s="18"/>
      <c r="F8" s="18"/>
      <c r="G8" s="18"/>
      <c r="H8" s="5" t="s">
        <v>95</v>
      </c>
      <c r="I8" s="18"/>
      <c r="J8" s="5" t="s">
        <v>84</v>
      </c>
      <c r="K8" s="5" t="s">
        <v>91</v>
      </c>
      <c r="L8" s="18"/>
      <c r="M8" s="5" t="s">
        <v>38</v>
      </c>
      <c r="N8" s="5" t="s">
        <v>38</v>
      </c>
      <c r="O8" s="5" t="s">
        <v>38</v>
      </c>
      <c r="P8" s="5" t="s">
        <v>38</v>
      </c>
      <c r="Q8" s="5" t="s">
        <v>38</v>
      </c>
      <c r="R8" s="18"/>
      <c r="S8" s="5"/>
      <c r="T8" s="18"/>
      <c r="U8" s="18" t="s">
        <v>92</v>
      </c>
    </row>
    <row r="9" customFormat="false" ht="15" hidden="false" customHeight="false" outlineLevel="0" collapsed="false">
      <c r="A9" s="5" t="s">
        <v>96</v>
      </c>
      <c r="B9" s="18"/>
      <c r="C9" s="18"/>
      <c r="D9" s="18"/>
      <c r="E9" s="18"/>
      <c r="F9" s="18"/>
      <c r="G9" s="18"/>
      <c r="H9" s="5" t="s">
        <v>97</v>
      </c>
      <c r="I9" s="18"/>
      <c r="J9" s="5" t="s">
        <v>84</v>
      </c>
      <c r="K9" s="5" t="s">
        <v>91</v>
      </c>
      <c r="L9" s="18"/>
      <c r="M9" s="5" t="s">
        <v>38</v>
      </c>
      <c r="N9" s="5" t="s">
        <v>38</v>
      </c>
      <c r="O9" s="5" t="s">
        <v>38</v>
      </c>
      <c r="P9" s="5" t="s">
        <v>38</v>
      </c>
      <c r="Q9" s="5" t="s">
        <v>38</v>
      </c>
      <c r="R9" s="18"/>
      <c r="S9" s="5"/>
      <c r="T9" s="18"/>
      <c r="U9" s="18" t="s">
        <v>92</v>
      </c>
    </row>
    <row r="10" customFormat="false" ht="15" hidden="false" customHeight="false" outlineLevel="0" collapsed="false">
      <c r="A10" s="5" t="s">
        <v>98</v>
      </c>
      <c r="B10" s="18"/>
      <c r="C10" s="18"/>
      <c r="D10" s="18"/>
      <c r="E10" s="18"/>
      <c r="F10" s="18"/>
      <c r="G10" s="18"/>
      <c r="H10" s="5" t="s">
        <v>99</v>
      </c>
      <c r="I10" s="18"/>
      <c r="J10" s="5" t="s">
        <v>84</v>
      </c>
      <c r="K10" s="5" t="s">
        <v>91</v>
      </c>
      <c r="L10" s="18"/>
      <c r="M10" s="5" t="s">
        <v>38</v>
      </c>
      <c r="N10" s="5" t="s">
        <v>38</v>
      </c>
      <c r="O10" s="5" t="s">
        <v>38</v>
      </c>
      <c r="P10" s="5" t="s">
        <v>38</v>
      </c>
      <c r="Q10" s="5" t="s">
        <v>38</v>
      </c>
      <c r="R10" s="18"/>
      <c r="S10" s="5"/>
      <c r="T10" s="18"/>
      <c r="U10" s="18" t="s">
        <v>92</v>
      </c>
    </row>
    <row r="11" customFormat="false" ht="15" hidden="false" customHeight="false" outlineLevel="0" collapsed="false">
      <c r="A11" s="5" t="s">
        <v>100</v>
      </c>
      <c r="B11" s="18"/>
      <c r="C11" s="18"/>
      <c r="D11" s="18"/>
      <c r="E11" s="18"/>
      <c r="F11" s="18"/>
      <c r="G11" s="18"/>
      <c r="H11" s="5" t="s">
        <v>101</v>
      </c>
      <c r="I11" s="18"/>
      <c r="J11" s="5" t="s">
        <v>84</v>
      </c>
      <c r="K11" s="5" t="s">
        <v>91</v>
      </c>
      <c r="L11" s="18"/>
      <c r="M11" s="5" t="s">
        <v>38</v>
      </c>
      <c r="N11" s="5" t="s">
        <v>38</v>
      </c>
      <c r="O11" s="5" t="s">
        <v>38</v>
      </c>
      <c r="P11" s="5" t="s">
        <v>38</v>
      </c>
      <c r="Q11" s="5" t="s">
        <v>38</v>
      </c>
      <c r="R11" s="18"/>
      <c r="S11" s="5"/>
      <c r="T11" s="18"/>
      <c r="U11" s="18" t="s">
        <v>92</v>
      </c>
    </row>
    <row r="12" customFormat="false" ht="15" hidden="false" customHeight="false" outlineLevel="0" collapsed="false">
      <c r="A12" s="5" t="s">
        <v>102</v>
      </c>
      <c r="B12" s="18"/>
      <c r="C12" s="18"/>
      <c r="D12" s="18"/>
      <c r="E12" s="18"/>
      <c r="F12" s="18"/>
      <c r="G12" s="18"/>
      <c r="H12" s="5" t="s">
        <v>103</v>
      </c>
      <c r="I12" s="18"/>
      <c r="J12" s="5" t="s">
        <v>84</v>
      </c>
      <c r="K12" s="5" t="s">
        <v>91</v>
      </c>
      <c r="L12" s="18"/>
      <c r="M12" s="5" t="s">
        <v>38</v>
      </c>
      <c r="N12" s="5" t="s">
        <v>38</v>
      </c>
      <c r="O12" s="5" t="s">
        <v>38</v>
      </c>
      <c r="P12" s="5" t="s">
        <v>38</v>
      </c>
      <c r="Q12" s="5" t="s">
        <v>38</v>
      </c>
      <c r="R12" s="18"/>
      <c r="S12" s="5"/>
      <c r="T12" s="18"/>
      <c r="U12" s="18" t="s">
        <v>92</v>
      </c>
    </row>
    <row r="13" customFormat="false" ht="15" hidden="false" customHeight="false" outlineLevel="0" collapsed="false">
      <c r="A13" s="5" t="s">
        <v>104</v>
      </c>
      <c r="B13" s="18"/>
      <c r="C13" s="18"/>
      <c r="D13" s="18"/>
      <c r="E13" s="18"/>
      <c r="F13" s="18"/>
      <c r="G13" s="18"/>
      <c r="H13" s="5" t="s">
        <v>105</v>
      </c>
      <c r="I13" s="18"/>
      <c r="J13" s="5" t="s">
        <v>84</v>
      </c>
      <c r="K13" s="5" t="s">
        <v>91</v>
      </c>
      <c r="L13" s="18"/>
      <c r="M13" s="5" t="s">
        <v>38</v>
      </c>
      <c r="N13" s="5" t="s">
        <v>38</v>
      </c>
      <c r="O13" s="5" t="s">
        <v>38</v>
      </c>
      <c r="P13" s="5" t="s">
        <v>38</v>
      </c>
      <c r="Q13" s="5" t="s">
        <v>38</v>
      </c>
      <c r="R13" s="18"/>
      <c r="S13" s="5"/>
      <c r="T13" s="18"/>
      <c r="U13" s="18" t="s">
        <v>92</v>
      </c>
    </row>
  </sheetData>
  <autoFilter ref="A4:U13"/>
  <conditionalFormatting sqref="M5:M13">
    <cfRule type="expression" priority="2" aboveAverage="0" equalAverage="0" bottom="0" percent="0" rank="0" text="" dxfId="6">
      <formula>M5="Not started"</formula>
    </cfRule>
    <cfRule type="expression" priority="3" aboveAverage="0" equalAverage="0" bottom="0" percent="0" rank="0" text="" dxfId="7">
      <formula>M5="In progress"</formula>
    </cfRule>
    <cfRule type="expression" priority="4" aboveAverage="0" equalAverage="0" bottom="0" percent="0" rank="0" text="" dxfId="8">
      <formula>M5="Review"</formula>
    </cfRule>
    <cfRule type="expression" priority="5" aboveAverage="0" equalAverage="0" bottom="0" percent="0" rank="0" text="" dxfId="9">
      <formula>M5="Approved"</formula>
    </cfRule>
    <cfRule type="expression" priority="6" aboveAverage="0" equalAverage="0" bottom="0" percent="0" rank="0" text="" dxfId="10">
      <formula>M5="Blocked"</formula>
    </cfRule>
    <cfRule type="expression" priority="7" aboveAverage="0" equalAverage="0" bottom="0" percent="0" rank="0" text="" dxfId="11">
      <formula>M5="N/A"</formula>
    </cfRule>
  </conditionalFormatting>
  <conditionalFormatting sqref="N5:N13">
    <cfRule type="expression" priority="8" aboveAverage="0" equalAverage="0" bottom="0" percent="0" rank="0" text="" dxfId="6">
      <formula>N5="Not started"</formula>
    </cfRule>
    <cfRule type="expression" priority="9" aboveAverage="0" equalAverage="0" bottom="0" percent="0" rank="0" text="" dxfId="7">
      <formula>N5="In progress"</formula>
    </cfRule>
    <cfRule type="expression" priority="10" aboveAverage="0" equalAverage="0" bottom="0" percent="0" rank="0" text="" dxfId="8">
      <formula>N5="Review"</formula>
    </cfRule>
    <cfRule type="expression" priority="11" aboveAverage="0" equalAverage="0" bottom="0" percent="0" rank="0" text="" dxfId="9">
      <formula>N5="Approved"</formula>
    </cfRule>
    <cfRule type="expression" priority="12" aboveAverage="0" equalAverage="0" bottom="0" percent="0" rank="0" text="" dxfId="10">
      <formula>N5="Blocked"</formula>
    </cfRule>
    <cfRule type="expression" priority="13" aboveAverage="0" equalAverage="0" bottom="0" percent="0" rank="0" text="" dxfId="11">
      <formula>N5="N/A"</formula>
    </cfRule>
  </conditionalFormatting>
  <conditionalFormatting sqref="O5:O13">
    <cfRule type="expression" priority="14" aboveAverage="0" equalAverage="0" bottom="0" percent="0" rank="0" text="" dxfId="6">
      <formula>O5="Not started"</formula>
    </cfRule>
    <cfRule type="expression" priority="15" aboveAverage="0" equalAverage="0" bottom="0" percent="0" rank="0" text="" dxfId="7">
      <formula>O5="In progress"</formula>
    </cfRule>
    <cfRule type="expression" priority="16" aboveAverage="0" equalAverage="0" bottom="0" percent="0" rank="0" text="" dxfId="8">
      <formula>O5="Review"</formula>
    </cfRule>
    <cfRule type="expression" priority="17" aboveAverage="0" equalAverage="0" bottom="0" percent="0" rank="0" text="" dxfId="9">
      <formula>O5="Approved"</formula>
    </cfRule>
    <cfRule type="expression" priority="18" aboveAverage="0" equalAverage="0" bottom="0" percent="0" rank="0" text="" dxfId="10">
      <formula>O5="Blocked"</formula>
    </cfRule>
    <cfRule type="expression" priority="19" aboveAverage="0" equalAverage="0" bottom="0" percent="0" rank="0" text="" dxfId="11">
      <formula>O5="N/A"</formula>
    </cfRule>
  </conditionalFormatting>
  <conditionalFormatting sqref="P5:P13">
    <cfRule type="expression" priority="20" aboveAverage="0" equalAverage="0" bottom="0" percent="0" rank="0" text="" dxfId="6">
      <formula>P5="Not started"</formula>
    </cfRule>
    <cfRule type="expression" priority="21" aboveAverage="0" equalAverage="0" bottom="0" percent="0" rank="0" text="" dxfId="7">
      <formula>P5="In progress"</formula>
    </cfRule>
    <cfRule type="expression" priority="22" aboveAverage="0" equalAverage="0" bottom="0" percent="0" rank="0" text="" dxfId="8">
      <formula>P5="Review"</formula>
    </cfRule>
    <cfRule type="expression" priority="23" aboveAverage="0" equalAverage="0" bottom="0" percent="0" rank="0" text="" dxfId="9">
      <formula>P5="Approved"</formula>
    </cfRule>
    <cfRule type="expression" priority="24" aboveAverage="0" equalAverage="0" bottom="0" percent="0" rank="0" text="" dxfId="10">
      <formula>P5="Blocked"</formula>
    </cfRule>
    <cfRule type="expression" priority="25" aboveAverage="0" equalAverage="0" bottom="0" percent="0" rank="0" text="" dxfId="11">
      <formula>P5="N/A"</formula>
    </cfRule>
  </conditionalFormatting>
  <conditionalFormatting sqref="Q5:Q13">
    <cfRule type="expression" priority="26" aboveAverage="0" equalAverage="0" bottom="0" percent="0" rank="0" text="" dxfId="6">
      <formula>Q5="Not started"</formula>
    </cfRule>
    <cfRule type="expression" priority="27" aboveAverage="0" equalAverage="0" bottom="0" percent="0" rank="0" text="" dxfId="7">
      <formula>Q5="In progress"</formula>
    </cfRule>
    <cfRule type="expression" priority="28" aboveAverage="0" equalAverage="0" bottom="0" percent="0" rank="0" text="" dxfId="8">
      <formula>Q5="Review"</formula>
    </cfRule>
    <cfRule type="expression" priority="29" aboveAverage="0" equalAverage="0" bottom="0" percent="0" rank="0" text="" dxfId="9">
      <formula>Q5="Approved"</formula>
    </cfRule>
    <cfRule type="expression" priority="30" aboveAverage="0" equalAverage="0" bottom="0" percent="0" rank="0" text="" dxfId="10">
      <formula>Q5="Blocked"</formula>
    </cfRule>
    <cfRule type="expression" priority="31" aboveAverage="0" equalAverage="0" bottom="0" percent="0" rank="0" text="" dxfId="11">
      <formula>Q5="N/A"</formula>
    </cfRule>
  </conditionalFormatting>
  <dataValidations count="5">
    <dataValidation allowBlank="true" errorStyle="stop" operator="between" showDropDown="false" showErrorMessage="false" showInputMessage="false" sqref="M5:M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N5:N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O5:O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13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B224"/>
    <pageSetUpPr fitToPage="fals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24"/>
    <col collapsed="false" customWidth="true" hidden="false" outlineLevel="0" max="8" min="8" style="0" width="34"/>
    <col collapsed="false" customWidth="true" hidden="false" outlineLevel="0" max="9" min="9" style="0" width="15"/>
    <col collapsed="false" customWidth="true" hidden="false" outlineLevel="0" max="10" min="10" style="0" width="40"/>
    <col collapsed="false" customWidth="true" hidden="false" outlineLevel="0" max="11" min="11" style="0" width="28"/>
    <col collapsed="false" customWidth="true" hidden="false" outlineLevel="0" max="12" min="12" style="0" width="2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8" min="15" style="0" width="12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26"/>
  </cols>
  <sheetData>
    <row r="1" customFormat="false" ht="25.5" hidden="false" customHeight="tru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</row>
    <row r="4" customFormat="false" ht="31.5" hidden="false" customHeight="true" outlineLevel="0" collapsed="false">
      <c r="A4" s="4" t="s">
        <v>54</v>
      </c>
      <c r="B4" s="4" t="s">
        <v>108</v>
      </c>
      <c r="C4" s="4" t="s">
        <v>109</v>
      </c>
      <c r="D4" s="4" t="s">
        <v>60</v>
      </c>
      <c r="E4" s="4" t="s">
        <v>110</v>
      </c>
      <c r="F4" s="4" t="s">
        <v>111</v>
      </c>
      <c r="G4" s="4" t="s">
        <v>112</v>
      </c>
      <c r="H4" s="4" t="s">
        <v>113</v>
      </c>
      <c r="I4" s="4" t="s">
        <v>114</v>
      </c>
      <c r="J4" s="4" t="s">
        <v>115</v>
      </c>
      <c r="K4" s="4" t="s">
        <v>116</v>
      </c>
      <c r="L4" s="4" t="s">
        <v>117</v>
      </c>
      <c r="M4" s="4" t="s">
        <v>63</v>
      </c>
      <c r="N4" s="4" t="s">
        <v>64</v>
      </c>
      <c r="O4" s="4" t="s">
        <v>66</v>
      </c>
      <c r="P4" s="4" t="s">
        <v>67</v>
      </c>
      <c r="Q4" s="4" t="s">
        <v>68</v>
      </c>
      <c r="R4" s="4" t="s">
        <v>69</v>
      </c>
      <c r="S4" s="4" t="s">
        <v>70</v>
      </c>
      <c r="T4" s="4" t="s">
        <v>71</v>
      </c>
      <c r="U4" s="4" t="s">
        <v>73</v>
      </c>
      <c r="V4" s="4" t="s">
        <v>74</v>
      </c>
    </row>
    <row r="5" customFormat="false" ht="23.85" hidden="false" customHeight="false" outlineLevel="0" collapsed="false">
      <c r="A5" s="5" t="s">
        <v>118</v>
      </c>
      <c r="B5" s="5" t="s">
        <v>119</v>
      </c>
      <c r="C5" s="5" t="s">
        <v>120</v>
      </c>
      <c r="D5" s="5" t="s">
        <v>81</v>
      </c>
      <c r="E5" s="5" t="s">
        <v>121</v>
      </c>
      <c r="F5" s="5" t="s">
        <v>122</v>
      </c>
      <c r="G5" s="5" t="s">
        <v>123</v>
      </c>
      <c r="H5" s="5" t="s">
        <v>124</v>
      </c>
      <c r="I5" s="5" t="s">
        <v>125</v>
      </c>
      <c r="J5" s="5" t="s">
        <v>126</v>
      </c>
      <c r="K5" s="18"/>
      <c r="L5" s="5" t="s">
        <v>127</v>
      </c>
      <c r="M5" s="5" t="s">
        <v>128</v>
      </c>
      <c r="N5" s="5" t="s">
        <v>129</v>
      </c>
      <c r="O5" s="5" t="s">
        <v>38</v>
      </c>
      <c r="P5" s="5" t="s">
        <v>38</v>
      </c>
      <c r="Q5" s="5" t="s">
        <v>38</v>
      </c>
      <c r="R5" s="5" t="s">
        <v>38</v>
      </c>
      <c r="S5" s="5" t="s">
        <v>38</v>
      </c>
      <c r="T5" s="18"/>
      <c r="U5" s="18"/>
      <c r="V5" s="18"/>
    </row>
    <row r="6" customFormat="false" ht="23.85" hidden="false" customHeight="false" outlineLevel="0" collapsed="false">
      <c r="A6" s="5" t="s">
        <v>130</v>
      </c>
      <c r="B6" s="5" t="s">
        <v>131</v>
      </c>
      <c r="C6" s="5" t="s">
        <v>120</v>
      </c>
      <c r="D6" s="5" t="s">
        <v>81</v>
      </c>
      <c r="E6" s="5" t="s">
        <v>121</v>
      </c>
      <c r="F6" s="5" t="s">
        <v>122</v>
      </c>
      <c r="G6" s="5" t="s">
        <v>123</v>
      </c>
      <c r="H6" s="5" t="s">
        <v>124</v>
      </c>
      <c r="I6" s="5" t="s">
        <v>125</v>
      </c>
      <c r="J6" s="5" t="s">
        <v>132</v>
      </c>
      <c r="K6" s="18"/>
      <c r="L6" s="5" t="s">
        <v>127</v>
      </c>
      <c r="M6" s="5" t="s">
        <v>128</v>
      </c>
      <c r="N6" s="5" t="s">
        <v>133</v>
      </c>
      <c r="O6" s="5" t="s">
        <v>38</v>
      </c>
      <c r="P6" s="5" t="s">
        <v>38</v>
      </c>
      <c r="Q6" s="5" t="s">
        <v>38</v>
      </c>
      <c r="R6" s="5" t="s">
        <v>38</v>
      </c>
      <c r="S6" s="5" t="s">
        <v>38</v>
      </c>
      <c r="T6" s="18"/>
      <c r="U6" s="18"/>
      <c r="V6" s="18"/>
    </row>
    <row r="7" customFormat="false" ht="23.85" hidden="false" customHeight="false" outlineLevel="0" collapsed="false">
      <c r="A7" s="5" t="s">
        <v>134</v>
      </c>
      <c r="B7" s="5" t="s">
        <v>119</v>
      </c>
      <c r="C7" s="5" t="s">
        <v>135</v>
      </c>
      <c r="D7" s="5" t="s">
        <v>136</v>
      </c>
      <c r="E7" s="5" t="s">
        <v>137</v>
      </c>
      <c r="F7" s="5" t="s">
        <v>138</v>
      </c>
      <c r="G7" s="5" t="s">
        <v>139</v>
      </c>
      <c r="H7" s="5" t="s">
        <v>140</v>
      </c>
      <c r="I7" s="5" t="s">
        <v>125</v>
      </c>
      <c r="J7" s="5" t="s">
        <v>126</v>
      </c>
      <c r="K7" s="18"/>
      <c r="L7" s="5" t="s">
        <v>141</v>
      </c>
      <c r="M7" s="5" t="s">
        <v>128</v>
      </c>
      <c r="N7" s="5" t="s">
        <v>129</v>
      </c>
      <c r="O7" s="5" t="s">
        <v>38</v>
      </c>
      <c r="P7" s="5" t="s">
        <v>38</v>
      </c>
      <c r="Q7" s="5" t="s">
        <v>38</v>
      </c>
      <c r="R7" s="5" t="s">
        <v>38</v>
      </c>
      <c r="S7" s="5" t="s">
        <v>38</v>
      </c>
      <c r="T7" s="18"/>
      <c r="U7" s="18"/>
      <c r="V7" s="18"/>
    </row>
    <row r="8" customFormat="false" ht="23.85" hidden="false" customHeight="false" outlineLevel="0" collapsed="false">
      <c r="A8" s="5" t="s">
        <v>142</v>
      </c>
      <c r="B8" s="5" t="s">
        <v>131</v>
      </c>
      <c r="C8" s="5" t="s">
        <v>135</v>
      </c>
      <c r="D8" s="5" t="s">
        <v>136</v>
      </c>
      <c r="E8" s="5" t="s">
        <v>137</v>
      </c>
      <c r="F8" s="5" t="s">
        <v>138</v>
      </c>
      <c r="G8" s="5" t="s">
        <v>139</v>
      </c>
      <c r="H8" s="5" t="s">
        <v>140</v>
      </c>
      <c r="I8" s="5" t="s">
        <v>125</v>
      </c>
      <c r="J8" s="5" t="s">
        <v>132</v>
      </c>
      <c r="K8" s="18"/>
      <c r="L8" s="5" t="s">
        <v>141</v>
      </c>
      <c r="M8" s="5" t="s">
        <v>128</v>
      </c>
      <c r="N8" s="5" t="s">
        <v>133</v>
      </c>
      <c r="O8" s="5" t="s">
        <v>38</v>
      </c>
      <c r="P8" s="5" t="s">
        <v>38</v>
      </c>
      <c r="Q8" s="5" t="s">
        <v>38</v>
      </c>
      <c r="R8" s="5" t="s">
        <v>38</v>
      </c>
      <c r="S8" s="5" t="s">
        <v>38</v>
      </c>
      <c r="T8" s="18"/>
      <c r="U8" s="18"/>
      <c r="V8" s="18"/>
    </row>
    <row r="9" customFormat="false" ht="23.85" hidden="false" customHeight="false" outlineLevel="0" collapsed="false">
      <c r="A9" s="5" t="s">
        <v>143</v>
      </c>
      <c r="B9" s="5" t="s">
        <v>119</v>
      </c>
      <c r="C9" s="5" t="s">
        <v>144</v>
      </c>
      <c r="D9" s="5" t="s">
        <v>145</v>
      </c>
      <c r="E9" s="5" t="s">
        <v>146</v>
      </c>
      <c r="F9" s="5" t="s">
        <v>147</v>
      </c>
      <c r="G9" s="5" t="s">
        <v>148</v>
      </c>
      <c r="H9" s="5" t="s">
        <v>149</v>
      </c>
      <c r="I9" s="5" t="s">
        <v>125</v>
      </c>
      <c r="J9" s="5" t="s">
        <v>126</v>
      </c>
      <c r="K9" s="18"/>
      <c r="L9" s="5" t="s">
        <v>150</v>
      </c>
      <c r="M9" s="5" t="s">
        <v>128</v>
      </c>
      <c r="N9" s="5" t="s">
        <v>129</v>
      </c>
      <c r="O9" s="5" t="s">
        <v>38</v>
      </c>
      <c r="P9" s="5" t="s">
        <v>38</v>
      </c>
      <c r="Q9" s="5" t="s">
        <v>38</v>
      </c>
      <c r="R9" s="5" t="s">
        <v>38</v>
      </c>
      <c r="S9" s="5" t="s">
        <v>38</v>
      </c>
      <c r="T9" s="18"/>
      <c r="U9" s="18"/>
      <c r="V9" s="18"/>
    </row>
    <row r="10" customFormat="false" ht="23.85" hidden="false" customHeight="false" outlineLevel="0" collapsed="false">
      <c r="A10" s="5" t="s">
        <v>151</v>
      </c>
      <c r="B10" s="5" t="s">
        <v>131</v>
      </c>
      <c r="C10" s="5" t="s">
        <v>144</v>
      </c>
      <c r="D10" s="5" t="s">
        <v>145</v>
      </c>
      <c r="E10" s="5" t="s">
        <v>146</v>
      </c>
      <c r="F10" s="5" t="s">
        <v>147</v>
      </c>
      <c r="G10" s="5" t="s">
        <v>148</v>
      </c>
      <c r="H10" s="5" t="s">
        <v>149</v>
      </c>
      <c r="I10" s="5" t="s">
        <v>125</v>
      </c>
      <c r="J10" s="5" t="s">
        <v>132</v>
      </c>
      <c r="K10" s="18"/>
      <c r="L10" s="5" t="s">
        <v>150</v>
      </c>
      <c r="M10" s="5" t="s">
        <v>128</v>
      </c>
      <c r="N10" s="5" t="s">
        <v>133</v>
      </c>
      <c r="O10" s="5" t="s">
        <v>38</v>
      </c>
      <c r="P10" s="5" t="s">
        <v>38</v>
      </c>
      <c r="Q10" s="5" t="s">
        <v>38</v>
      </c>
      <c r="R10" s="5" t="s">
        <v>38</v>
      </c>
      <c r="S10" s="5" t="s">
        <v>38</v>
      </c>
      <c r="T10" s="18"/>
      <c r="U10" s="18"/>
      <c r="V10" s="18"/>
    </row>
    <row r="11" customFormat="false" ht="23.85" hidden="false" customHeight="false" outlineLevel="0" collapsed="false">
      <c r="A11" s="5" t="s">
        <v>152</v>
      </c>
      <c r="B11" s="5" t="s">
        <v>119</v>
      </c>
      <c r="C11" s="5" t="s">
        <v>153</v>
      </c>
      <c r="D11" s="5" t="s">
        <v>136</v>
      </c>
      <c r="E11" s="5" t="s">
        <v>154</v>
      </c>
      <c r="F11" s="5" t="s">
        <v>155</v>
      </c>
      <c r="G11" s="5" t="s">
        <v>156</v>
      </c>
      <c r="H11" s="5" t="s">
        <v>157</v>
      </c>
      <c r="I11" s="5" t="s">
        <v>158</v>
      </c>
      <c r="J11" s="5" t="s">
        <v>126</v>
      </c>
      <c r="K11" s="18"/>
      <c r="L11" s="5" t="s">
        <v>159</v>
      </c>
      <c r="M11" s="5" t="s">
        <v>128</v>
      </c>
      <c r="N11" s="5" t="s">
        <v>129</v>
      </c>
      <c r="O11" s="5" t="s">
        <v>38</v>
      </c>
      <c r="P11" s="5" t="s">
        <v>38</v>
      </c>
      <c r="Q11" s="5" t="s">
        <v>38</v>
      </c>
      <c r="R11" s="5" t="s">
        <v>38</v>
      </c>
      <c r="S11" s="5" t="s">
        <v>38</v>
      </c>
      <c r="T11" s="18"/>
      <c r="U11" s="18"/>
      <c r="V11" s="18"/>
    </row>
    <row r="12" customFormat="false" ht="23.85" hidden="false" customHeight="false" outlineLevel="0" collapsed="false">
      <c r="A12" s="5" t="s">
        <v>160</v>
      </c>
      <c r="B12" s="5" t="s">
        <v>131</v>
      </c>
      <c r="C12" s="5" t="s">
        <v>153</v>
      </c>
      <c r="D12" s="5" t="s">
        <v>136</v>
      </c>
      <c r="E12" s="5" t="s">
        <v>154</v>
      </c>
      <c r="F12" s="5" t="s">
        <v>155</v>
      </c>
      <c r="G12" s="5" t="s">
        <v>156</v>
      </c>
      <c r="H12" s="5" t="s">
        <v>157</v>
      </c>
      <c r="I12" s="5" t="s">
        <v>158</v>
      </c>
      <c r="J12" s="5" t="s">
        <v>132</v>
      </c>
      <c r="K12" s="18"/>
      <c r="L12" s="5" t="s">
        <v>159</v>
      </c>
      <c r="M12" s="5" t="s">
        <v>128</v>
      </c>
      <c r="N12" s="5" t="s">
        <v>133</v>
      </c>
      <c r="O12" s="5" t="s">
        <v>38</v>
      </c>
      <c r="P12" s="5" t="s">
        <v>38</v>
      </c>
      <c r="Q12" s="5" t="s">
        <v>38</v>
      </c>
      <c r="R12" s="5" t="s">
        <v>38</v>
      </c>
      <c r="S12" s="5" t="s">
        <v>38</v>
      </c>
      <c r="T12" s="18"/>
      <c r="U12" s="18"/>
      <c r="V12" s="18"/>
    </row>
    <row r="13" customFormat="false" ht="23.85" hidden="false" customHeight="false" outlineLevel="0" collapsed="false">
      <c r="A13" s="5" t="s">
        <v>161</v>
      </c>
      <c r="B13" s="5" t="s">
        <v>119</v>
      </c>
      <c r="C13" s="5" t="s">
        <v>162</v>
      </c>
      <c r="D13" s="5" t="s">
        <v>163</v>
      </c>
      <c r="E13" s="5" t="s">
        <v>164</v>
      </c>
      <c r="F13" s="5" t="s">
        <v>165</v>
      </c>
      <c r="G13" s="5" t="s">
        <v>166</v>
      </c>
      <c r="H13" s="5" t="s">
        <v>167</v>
      </c>
      <c r="I13" s="5" t="s">
        <v>158</v>
      </c>
      <c r="J13" s="5" t="s">
        <v>126</v>
      </c>
      <c r="K13" s="18"/>
      <c r="L13" s="5" t="s">
        <v>168</v>
      </c>
      <c r="M13" s="5" t="s">
        <v>128</v>
      </c>
      <c r="N13" s="5" t="s">
        <v>129</v>
      </c>
      <c r="O13" s="5" t="s">
        <v>38</v>
      </c>
      <c r="P13" s="5" t="s">
        <v>38</v>
      </c>
      <c r="Q13" s="5" t="s">
        <v>38</v>
      </c>
      <c r="R13" s="5" t="s">
        <v>38</v>
      </c>
      <c r="S13" s="5" t="s">
        <v>38</v>
      </c>
      <c r="T13" s="18"/>
      <c r="U13" s="18"/>
      <c r="V13" s="18"/>
    </row>
    <row r="14" customFormat="false" ht="23.85" hidden="false" customHeight="false" outlineLevel="0" collapsed="false">
      <c r="A14" s="5" t="s">
        <v>169</v>
      </c>
      <c r="B14" s="5" t="s">
        <v>131</v>
      </c>
      <c r="C14" s="5" t="s">
        <v>162</v>
      </c>
      <c r="D14" s="5" t="s">
        <v>163</v>
      </c>
      <c r="E14" s="5" t="s">
        <v>164</v>
      </c>
      <c r="F14" s="5" t="s">
        <v>165</v>
      </c>
      <c r="G14" s="5" t="s">
        <v>166</v>
      </c>
      <c r="H14" s="5" t="s">
        <v>167</v>
      </c>
      <c r="I14" s="5" t="s">
        <v>158</v>
      </c>
      <c r="J14" s="5" t="s">
        <v>132</v>
      </c>
      <c r="K14" s="18"/>
      <c r="L14" s="5" t="s">
        <v>168</v>
      </c>
      <c r="M14" s="5" t="s">
        <v>128</v>
      </c>
      <c r="N14" s="5" t="s">
        <v>133</v>
      </c>
      <c r="O14" s="5" t="s">
        <v>38</v>
      </c>
      <c r="P14" s="5" t="s">
        <v>38</v>
      </c>
      <c r="Q14" s="5" t="s">
        <v>38</v>
      </c>
      <c r="R14" s="5" t="s">
        <v>38</v>
      </c>
      <c r="S14" s="5" t="s">
        <v>38</v>
      </c>
      <c r="T14" s="18"/>
      <c r="U14" s="18"/>
      <c r="V14" s="18"/>
    </row>
    <row r="15" customFormat="false" ht="23.85" hidden="false" customHeight="false" outlineLevel="0" collapsed="false">
      <c r="A15" s="5" t="s">
        <v>170</v>
      </c>
      <c r="B15" s="5" t="s">
        <v>119</v>
      </c>
      <c r="C15" s="5" t="s">
        <v>171</v>
      </c>
      <c r="D15" s="5" t="s">
        <v>172</v>
      </c>
      <c r="E15" s="5" t="s">
        <v>173</v>
      </c>
      <c r="F15" s="5" t="s">
        <v>174</v>
      </c>
      <c r="G15" s="5" t="s">
        <v>175</v>
      </c>
      <c r="H15" s="5" t="s">
        <v>176</v>
      </c>
      <c r="I15" s="5" t="s">
        <v>158</v>
      </c>
      <c r="J15" s="5" t="s">
        <v>126</v>
      </c>
      <c r="K15" s="18"/>
      <c r="L15" s="5" t="s">
        <v>177</v>
      </c>
      <c r="M15" s="5" t="s">
        <v>128</v>
      </c>
      <c r="N15" s="5" t="s">
        <v>129</v>
      </c>
      <c r="O15" s="5" t="s">
        <v>38</v>
      </c>
      <c r="P15" s="5" t="s">
        <v>38</v>
      </c>
      <c r="Q15" s="5" t="s">
        <v>38</v>
      </c>
      <c r="R15" s="5" t="s">
        <v>38</v>
      </c>
      <c r="S15" s="5" t="s">
        <v>38</v>
      </c>
      <c r="T15" s="18"/>
      <c r="U15" s="18"/>
      <c r="V15" s="18"/>
    </row>
    <row r="16" customFormat="false" ht="23.85" hidden="false" customHeight="false" outlineLevel="0" collapsed="false">
      <c r="A16" s="5" t="s">
        <v>178</v>
      </c>
      <c r="B16" s="5" t="s">
        <v>131</v>
      </c>
      <c r="C16" s="5" t="s">
        <v>171</v>
      </c>
      <c r="D16" s="5" t="s">
        <v>172</v>
      </c>
      <c r="E16" s="5" t="s">
        <v>173</v>
      </c>
      <c r="F16" s="5" t="s">
        <v>174</v>
      </c>
      <c r="G16" s="5" t="s">
        <v>175</v>
      </c>
      <c r="H16" s="5" t="s">
        <v>176</v>
      </c>
      <c r="I16" s="5" t="s">
        <v>158</v>
      </c>
      <c r="J16" s="5" t="s">
        <v>132</v>
      </c>
      <c r="K16" s="18"/>
      <c r="L16" s="5" t="s">
        <v>177</v>
      </c>
      <c r="M16" s="5" t="s">
        <v>128</v>
      </c>
      <c r="N16" s="5" t="s">
        <v>133</v>
      </c>
      <c r="O16" s="5" t="s">
        <v>38</v>
      </c>
      <c r="P16" s="5" t="s">
        <v>38</v>
      </c>
      <c r="Q16" s="5" t="s">
        <v>38</v>
      </c>
      <c r="R16" s="5" t="s">
        <v>38</v>
      </c>
      <c r="S16" s="5" t="s">
        <v>38</v>
      </c>
      <c r="T16" s="18"/>
      <c r="U16" s="18"/>
      <c r="V16" s="18"/>
    </row>
    <row r="17" customFormat="false" ht="23.85" hidden="false" customHeight="false" outlineLevel="0" collapsed="false">
      <c r="A17" s="5" t="s">
        <v>179</v>
      </c>
      <c r="B17" s="5" t="s">
        <v>119</v>
      </c>
      <c r="C17" s="5" t="s">
        <v>180</v>
      </c>
      <c r="D17" s="5" t="s">
        <v>181</v>
      </c>
      <c r="E17" s="5" t="s">
        <v>182</v>
      </c>
      <c r="F17" s="5" t="s">
        <v>183</v>
      </c>
      <c r="G17" s="5" t="s">
        <v>184</v>
      </c>
      <c r="H17" s="5" t="s">
        <v>185</v>
      </c>
      <c r="I17" s="5" t="s">
        <v>186</v>
      </c>
      <c r="J17" s="5" t="s">
        <v>126</v>
      </c>
      <c r="K17" s="18"/>
      <c r="L17" s="5" t="s">
        <v>187</v>
      </c>
      <c r="M17" s="5" t="s">
        <v>128</v>
      </c>
      <c r="N17" s="5" t="s">
        <v>129</v>
      </c>
      <c r="O17" s="5" t="s">
        <v>38</v>
      </c>
      <c r="P17" s="5" t="s">
        <v>38</v>
      </c>
      <c r="Q17" s="5" t="s">
        <v>38</v>
      </c>
      <c r="R17" s="5" t="s">
        <v>38</v>
      </c>
      <c r="S17" s="5" t="s">
        <v>38</v>
      </c>
      <c r="T17" s="18"/>
      <c r="U17" s="18"/>
      <c r="V17" s="18"/>
    </row>
    <row r="18" customFormat="false" ht="23.85" hidden="false" customHeight="false" outlineLevel="0" collapsed="false">
      <c r="A18" s="5" t="s">
        <v>188</v>
      </c>
      <c r="B18" s="5" t="s">
        <v>131</v>
      </c>
      <c r="C18" s="5" t="s">
        <v>180</v>
      </c>
      <c r="D18" s="5" t="s">
        <v>181</v>
      </c>
      <c r="E18" s="5" t="s">
        <v>182</v>
      </c>
      <c r="F18" s="5" t="s">
        <v>183</v>
      </c>
      <c r="G18" s="5" t="s">
        <v>184</v>
      </c>
      <c r="H18" s="5" t="s">
        <v>185</v>
      </c>
      <c r="I18" s="5" t="s">
        <v>186</v>
      </c>
      <c r="J18" s="5" t="s">
        <v>132</v>
      </c>
      <c r="K18" s="18"/>
      <c r="L18" s="5" t="s">
        <v>187</v>
      </c>
      <c r="M18" s="5" t="s">
        <v>128</v>
      </c>
      <c r="N18" s="5" t="s">
        <v>133</v>
      </c>
      <c r="O18" s="5" t="s">
        <v>38</v>
      </c>
      <c r="P18" s="5" t="s">
        <v>38</v>
      </c>
      <c r="Q18" s="5" t="s">
        <v>38</v>
      </c>
      <c r="R18" s="5" t="s">
        <v>38</v>
      </c>
      <c r="S18" s="5" t="s">
        <v>38</v>
      </c>
      <c r="T18" s="18"/>
      <c r="U18" s="18"/>
      <c r="V18" s="18"/>
    </row>
    <row r="19" customFormat="false" ht="23.85" hidden="false" customHeight="false" outlineLevel="0" collapsed="false">
      <c r="A19" s="5" t="s">
        <v>189</v>
      </c>
      <c r="B19" s="5" t="s">
        <v>119</v>
      </c>
      <c r="C19" s="5" t="s">
        <v>190</v>
      </c>
      <c r="D19" s="5" t="s">
        <v>191</v>
      </c>
      <c r="E19" s="5" t="s">
        <v>192</v>
      </c>
      <c r="F19" s="5" t="s">
        <v>193</v>
      </c>
      <c r="G19" s="5" t="s">
        <v>194</v>
      </c>
      <c r="H19" s="5" t="s">
        <v>195</v>
      </c>
      <c r="I19" s="5" t="s">
        <v>158</v>
      </c>
      <c r="J19" s="5" t="s">
        <v>126</v>
      </c>
      <c r="K19" s="18"/>
      <c r="L19" s="5" t="s">
        <v>196</v>
      </c>
      <c r="M19" s="5" t="s">
        <v>128</v>
      </c>
      <c r="N19" s="5" t="s">
        <v>129</v>
      </c>
      <c r="O19" s="5" t="s">
        <v>38</v>
      </c>
      <c r="P19" s="5" t="s">
        <v>38</v>
      </c>
      <c r="Q19" s="5" t="s">
        <v>38</v>
      </c>
      <c r="R19" s="5" t="s">
        <v>38</v>
      </c>
      <c r="S19" s="5" t="s">
        <v>38</v>
      </c>
      <c r="T19" s="18"/>
      <c r="U19" s="18"/>
      <c r="V19" s="18"/>
    </row>
    <row r="20" customFormat="false" ht="23.85" hidden="false" customHeight="false" outlineLevel="0" collapsed="false">
      <c r="A20" s="5" t="s">
        <v>197</v>
      </c>
      <c r="B20" s="5" t="s">
        <v>131</v>
      </c>
      <c r="C20" s="5" t="s">
        <v>190</v>
      </c>
      <c r="D20" s="5" t="s">
        <v>191</v>
      </c>
      <c r="E20" s="5" t="s">
        <v>192</v>
      </c>
      <c r="F20" s="5" t="s">
        <v>193</v>
      </c>
      <c r="G20" s="5" t="s">
        <v>194</v>
      </c>
      <c r="H20" s="5" t="s">
        <v>195</v>
      </c>
      <c r="I20" s="5" t="s">
        <v>158</v>
      </c>
      <c r="J20" s="5" t="s">
        <v>132</v>
      </c>
      <c r="K20" s="18"/>
      <c r="L20" s="5" t="s">
        <v>196</v>
      </c>
      <c r="M20" s="5" t="s">
        <v>128</v>
      </c>
      <c r="N20" s="5" t="s">
        <v>133</v>
      </c>
      <c r="O20" s="5" t="s">
        <v>38</v>
      </c>
      <c r="P20" s="5" t="s">
        <v>38</v>
      </c>
      <c r="Q20" s="5" t="s">
        <v>38</v>
      </c>
      <c r="R20" s="5" t="s">
        <v>38</v>
      </c>
      <c r="S20" s="5" t="s">
        <v>38</v>
      </c>
      <c r="T20" s="18"/>
      <c r="U20" s="18"/>
      <c r="V20" s="18"/>
    </row>
  </sheetData>
  <autoFilter ref="A4:V20"/>
  <conditionalFormatting sqref="O5:O20">
    <cfRule type="expression" priority="2" aboveAverage="0" equalAverage="0" bottom="0" percent="0" rank="0" text="" dxfId="6">
      <formula>O5="Not started"</formula>
    </cfRule>
    <cfRule type="expression" priority="3" aboveAverage="0" equalAverage="0" bottom="0" percent="0" rank="0" text="" dxfId="7">
      <formula>O5="In progress"</formula>
    </cfRule>
    <cfRule type="expression" priority="4" aboveAverage="0" equalAverage="0" bottom="0" percent="0" rank="0" text="" dxfId="8">
      <formula>O5="Review"</formula>
    </cfRule>
    <cfRule type="expression" priority="5" aboveAverage="0" equalAverage="0" bottom="0" percent="0" rank="0" text="" dxfId="9">
      <formula>O5="Approved"</formula>
    </cfRule>
    <cfRule type="expression" priority="6" aboveAverage="0" equalAverage="0" bottom="0" percent="0" rank="0" text="" dxfId="10">
      <formula>O5="Blocked"</formula>
    </cfRule>
    <cfRule type="expression" priority="7" aboveAverage="0" equalAverage="0" bottom="0" percent="0" rank="0" text="" dxfId="11">
      <formula>O5="N/A"</formula>
    </cfRule>
  </conditionalFormatting>
  <conditionalFormatting sqref="P5:P20">
    <cfRule type="expression" priority="8" aboveAverage="0" equalAverage="0" bottom="0" percent="0" rank="0" text="" dxfId="6">
      <formula>P5="Not started"</formula>
    </cfRule>
    <cfRule type="expression" priority="9" aboveAverage="0" equalAverage="0" bottom="0" percent="0" rank="0" text="" dxfId="7">
      <formula>P5="In progress"</formula>
    </cfRule>
    <cfRule type="expression" priority="10" aboveAverage="0" equalAverage="0" bottom="0" percent="0" rank="0" text="" dxfId="8">
      <formula>P5="Review"</formula>
    </cfRule>
    <cfRule type="expression" priority="11" aboveAverage="0" equalAverage="0" bottom="0" percent="0" rank="0" text="" dxfId="9">
      <formula>P5="Approved"</formula>
    </cfRule>
    <cfRule type="expression" priority="12" aboveAverage="0" equalAverage="0" bottom="0" percent="0" rank="0" text="" dxfId="10">
      <formula>P5="Blocked"</formula>
    </cfRule>
    <cfRule type="expression" priority="13" aboveAverage="0" equalAverage="0" bottom="0" percent="0" rank="0" text="" dxfId="11">
      <formula>P5="N/A"</formula>
    </cfRule>
  </conditionalFormatting>
  <conditionalFormatting sqref="Q5:Q20">
    <cfRule type="expression" priority="14" aboveAverage="0" equalAverage="0" bottom="0" percent="0" rank="0" text="" dxfId="6">
      <formula>Q5="Not started"</formula>
    </cfRule>
    <cfRule type="expression" priority="15" aboveAverage="0" equalAverage="0" bottom="0" percent="0" rank="0" text="" dxfId="7">
      <formula>Q5="In progress"</formula>
    </cfRule>
    <cfRule type="expression" priority="16" aboveAverage="0" equalAverage="0" bottom="0" percent="0" rank="0" text="" dxfId="8">
      <formula>Q5="Review"</formula>
    </cfRule>
    <cfRule type="expression" priority="17" aboveAverage="0" equalAverage="0" bottom="0" percent="0" rank="0" text="" dxfId="9">
      <formula>Q5="Approved"</formula>
    </cfRule>
    <cfRule type="expression" priority="18" aboveAverage="0" equalAverage="0" bottom="0" percent="0" rank="0" text="" dxfId="10">
      <formula>Q5="Blocked"</formula>
    </cfRule>
    <cfRule type="expression" priority="19" aboveAverage="0" equalAverage="0" bottom="0" percent="0" rank="0" text="" dxfId="11">
      <formula>Q5="N/A"</formula>
    </cfRule>
  </conditionalFormatting>
  <conditionalFormatting sqref="R5:R20">
    <cfRule type="expression" priority="20" aboveAverage="0" equalAverage="0" bottom="0" percent="0" rank="0" text="" dxfId="6">
      <formula>R5="Not started"</formula>
    </cfRule>
    <cfRule type="expression" priority="21" aboveAverage="0" equalAverage="0" bottom="0" percent="0" rank="0" text="" dxfId="7">
      <formula>R5="In progress"</formula>
    </cfRule>
    <cfRule type="expression" priority="22" aboveAverage="0" equalAverage="0" bottom="0" percent="0" rank="0" text="" dxfId="8">
      <formula>R5="Review"</formula>
    </cfRule>
    <cfRule type="expression" priority="23" aboveAverage="0" equalAverage="0" bottom="0" percent="0" rank="0" text="" dxfId="9">
      <formula>R5="Approved"</formula>
    </cfRule>
    <cfRule type="expression" priority="24" aboveAverage="0" equalAverage="0" bottom="0" percent="0" rank="0" text="" dxfId="10">
      <formula>R5="Blocked"</formula>
    </cfRule>
    <cfRule type="expression" priority="25" aboveAverage="0" equalAverage="0" bottom="0" percent="0" rank="0" text="" dxfId="11">
      <formula>R5="N/A"</formula>
    </cfRule>
  </conditionalFormatting>
  <conditionalFormatting sqref="S5:S20">
    <cfRule type="expression" priority="26" aboveAverage="0" equalAverage="0" bottom="0" percent="0" rank="0" text="" dxfId="6">
      <formula>S5="Not started"</formula>
    </cfRule>
    <cfRule type="expression" priority="27" aboveAverage="0" equalAverage="0" bottom="0" percent="0" rank="0" text="" dxfId="7">
      <formula>S5="In progress"</formula>
    </cfRule>
    <cfRule type="expression" priority="28" aboveAverage="0" equalAverage="0" bottom="0" percent="0" rank="0" text="" dxfId="8">
      <formula>S5="Review"</formula>
    </cfRule>
    <cfRule type="expression" priority="29" aboveAverage="0" equalAverage="0" bottom="0" percent="0" rank="0" text="" dxfId="9">
      <formula>S5="Approved"</formula>
    </cfRule>
    <cfRule type="expression" priority="30" aboveAverage="0" equalAverage="0" bottom="0" percent="0" rank="0" text="" dxfId="10">
      <formula>S5="Blocked"</formula>
    </cfRule>
    <cfRule type="expression" priority="31" aboveAverage="0" equalAverage="0" bottom="0" percent="0" rank="0" text="" dxfId="11">
      <formula>S5="N/A"</formula>
    </cfRule>
  </conditionalFormatting>
  <dataValidations count="5">
    <dataValidation allowBlank="true" errorStyle="stop" operator="between" showDropDown="false" showErrorMessage="false" showInputMessage="false" sqref="O5:O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R5:R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S5:S20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484D"/>
    <pageSetUpPr fitToPage="fals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5" min="15" style="0" width="30"/>
  </cols>
  <sheetData>
    <row r="1" customFormat="false" ht="25.5" hidden="false" customHeight="tru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31.5" hidden="false" customHeight="true" outlineLevel="0" collapsed="false">
      <c r="A4" s="4" t="s">
        <v>54</v>
      </c>
      <c r="B4" s="4" t="s">
        <v>108</v>
      </c>
      <c r="C4" s="4" t="s">
        <v>115</v>
      </c>
      <c r="D4" s="4" t="s">
        <v>200</v>
      </c>
      <c r="E4" s="4" t="s">
        <v>64</v>
      </c>
      <c r="F4" s="4" t="s">
        <v>63</v>
      </c>
      <c r="G4" s="4" t="s">
        <v>201</v>
      </c>
      <c r="H4" s="4" t="s">
        <v>66</v>
      </c>
      <c r="I4" s="4" t="s">
        <v>67</v>
      </c>
      <c r="J4" s="4" t="s">
        <v>68</v>
      </c>
      <c r="K4" s="4" t="s">
        <v>69</v>
      </c>
      <c r="L4" s="4" t="s">
        <v>70</v>
      </c>
      <c r="M4" s="4" t="s">
        <v>71</v>
      </c>
      <c r="N4" s="4" t="s">
        <v>73</v>
      </c>
      <c r="O4" s="4" t="s">
        <v>74</v>
      </c>
    </row>
    <row r="5" customFormat="false" ht="23.85" hidden="false" customHeight="false" outlineLevel="0" collapsed="false">
      <c r="A5" s="5" t="s">
        <v>202</v>
      </c>
      <c r="B5" s="5" t="s">
        <v>119</v>
      </c>
      <c r="C5" s="5" t="s">
        <v>203</v>
      </c>
      <c r="D5" s="5" t="s">
        <v>204</v>
      </c>
      <c r="E5" s="5" t="s">
        <v>205</v>
      </c>
      <c r="F5" s="5" t="s">
        <v>206</v>
      </c>
      <c r="G5" s="5" t="s">
        <v>207</v>
      </c>
      <c r="H5" s="5" t="s">
        <v>38</v>
      </c>
      <c r="I5" s="5" t="s">
        <v>38</v>
      </c>
      <c r="J5" s="5" t="s">
        <v>38</v>
      </c>
      <c r="K5" s="5" t="s">
        <v>38</v>
      </c>
      <c r="L5" s="5" t="s">
        <v>38</v>
      </c>
      <c r="M5" s="18"/>
      <c r="N5" s="18"/>
      <c r="O5" s="18" t="s">
        <v>208</v>
      </c>
    </row>
    <row r="6" customFormat="false" ht="23.85" hidden="false" customHeight="false" outlineLevel="0" collapsed="false">
      <c r="A6" s="5" t="s">
        <v>209</v>
      </c>
      <c r="B6" s="5" t="s">
        <v>131</v>
      </c>
      <c r="C6" s="5" t="s">
        <v>210</v>
      </c>
      <c r="D6" s="5" t="s">
        <v>211</v>
      </c>
      <c r="E6" s="5" t="s">
        <v>205</v>
      </c>
      <c r="F6" s="5" t="s">
        <v>206</v>
      </c>
      <c r="G6" s="5" t="s">
        <v>212</v>
      </c>
      <c r="H6" s="5" t="s">
        <v>38</v>
      </c>
      <c r="I6" s="5" t="s">
        <v>38</v>
      </c>
      <c r="J6" s="5" t="s">
        <v>38</v>
      </c>
      <c r="K6" s="5" t="s">
        <v>38</v>
      </c>
      <c r="L6" s="5" t="s">
        <v>38</v>
      </c>
      <c r="M6" s="18"/>
      <c r="N6" s="18"/>
      <c r="O6" s="18" t="s">
        <v>213</v>
      </c>
    </row>
    <row r="8" customFormat="false" ht="15" hidden="false" customHeight="false" outlineLevel="0" collapsed="false">
      <c r="A8" s="3" t="s">
        <v>214</v>
      </c>
    </row>
    <row r="9" customFormat="false" ht="31.5" hidden="false" customHeight="true" outlineLevel="0" collapsed="false">
      <c r="A9" s="4" t="s">
        <v>215</v>
      </c>
      <c r="B9" s="4" t="s">
        <v>216</v>
      </c>
      <c r="C9" s="4" t="s">
        <v>217</v>
      </c>
      <c r="D9" s="4" t="s">
        <v>218</v>
      </c>
      <c r="E9" s="4" t="s">
        <v>219</v>
      </c>
      <c r="F9" s="4" t="s">
        <v>220</v>
      </c>
      <c r="G9" s="4" t="s">
        <v>221</v>
      </c>
      <c r="H9" s="4" t="s">
        <v>222</v>
      </c>
      <c r="I9" s="4" t="s">
        <v>74</v>
      </c>
    </row>
    <row r="10" customFormat="false" ht="23.85" hidden="false" customHeight="false" outlineLevel="0" collapsed="false">
      <c r="A10" s="5" t="n">
        <v>1</v>
      </c>
      <c r="B10" s="5" t="s">
        <v>223</v>
      </c>
      <c r="C10" s="5" t="s">
        <v>224</v>
      </c>
      <c r="D10" s="5" t="s">
        <v>225</v>
      </c>
      <c r="E10" s="5" t="s">
        <v>226</v>
      </c>
      <c r="F10" s="5" t="s">
        <v>227</v>
      </c>
      <c r="G10" s="5" t="s">
        <v>228</v>
      </c>
      <c r="H10" s="5" t="s">
        <v>38</v>
      </c>
      <c r="I10" s="18"/>
    </row>
    <row r="11" customFormat="false" ht="15" hidden="false" customHeight="false" outlineLevel="0" collapsed="false">
      <c r="A11" s="5" t="n">
        <v>2</v>
      </c>
      <c r="B11" s="5" t="s">
        <v>229</v>
      </c>
      <c r="C11" s="5" t="s">
        <v>230</v>
      </c>
      <c r="D11" s="5" t="s">
        <v>231</v>
      </c>
      <c r="E11" s="5" t="s">
        <v>232</v>
      </c>
      <c r="F11" s="5" t="s">
        <v>125</v>
      </c>
      <c r="G11" s="5" t="s">
        <v>233</v>
      </c>
      <c r="H11" s="5" t="s">
        <v>38</v>
      </c>
      <c r="I11" s="18"/>
    </row>
    <row r="12" customFormat="false" ht="15" hidden="false" customHeight="false" outlineLevel="0" collapsed="false">
      <c r="A12" s="5" t="n">
        <v>3</v>
      </c>
      <c r="B12" s="5" t="s">
        <v>234</v>
      </c>
      <c r="C12" s="5" t="s">
        <v>235</v>
      </c>
      <c r="D12" s="5" t="s">
        <v>236</v>
      </c>
      <c r="E12" s="5" t="s">
        <v>237</v>
      </c>
      <c r="F12" s="5" t="s">
        <v>238</v>
      </c>
      <c r="G12" s="5" t="s">
        <v>239</v>
      </c>
      <c r="H12" s="5" t="s">
        <v>38</v>
      </c>
      <c r="I12" s="18"/>
    </row>
    <row r="13" customFormat="false" ht="15" hidden="false" customHeight="false" outlineLevel="0" collapsed="false">
      <c r="A13" s="5" t="n">
        <v>4</v>
      </c>
      <c r="B13" s="5" t="s">
        <v>240</v>
      </c>
      <c r="C13" s="5" t="s">
        <v>241</v>
      </c>
      <c r="D13" s="5" t="s">
        <v>242</v>
      </c>
      <c r="E13" s="5" t="s">
        <v>243</v>
      </c>
      <c r="F13" s="5" t="s">
        <v>186</v>
      </c>
      <c r="G13" s="5" t="s">
        <v>244</v>
      </c>
      <c r="H13" s="5" t="s">
        <v>38</v>
      </c>
      <c r="I13" s="18"/>
    </row>
    <row r="14" customFormat="false" ht="15" hidden="false" customHeight="false" outlineLevel="0" collapsed="false">
      <c r="A14" s="5" t="n">
        <v>5</v>
      </c>
      <c r="B14" s="5" t="s">
        <v>245</v>
      </c>
      <c r="C14" s="5" t="s">
        <v>246</v>
      </c>
      <c r="D14" s="5" t="s">
        <v>247</v>
      </c>
      <c r="E14" s="5" t="s">
        <v>248</v>
      </c>
      <c r="F14" s="5" t="s">
        <v>181</v>
      </c>
      <c r="G14" s="5" t="s">
        <v>249</v>
      </c>
      <c r="H14" s="5" t="s">
        <v>38</v>
      </c>
      <c r="I14" s="18"/>
    </row>
  </sheetData>
  <autoFilter ref="A9:I14"/>
  <conditionalFormatting sqref="H5:H6">
    <cfRule type="expression" priority="2" aboveAverage="0" equalAverage="0" bottom="0" percent="0" rank="0" text="" dxfId="6">
      <formula>H5="Not started"</formula>
    </cfRule>
    <cfRule type="expression" priority="3" aboveAverage="0" equalAverage="0" bottom="0" percent="0" rank="0" text="" dxfId="7">
      <formula>H5="In progress"</formula>
    </cfRule>
    <cfRule type="expression" priority="4" aboveAverage="0" equalAverage="0" bottom="0" percent="0" rank="0" text="" dxfId="8">
      <formula>H5="Review"</formula>
    </cfRule>
    <cfRule type="expression" priority="5" aboveAverage="0" equalAverage="0" bottom="0" percent="0" rank="0" text="" dxfId="9">
      <formula>H5="Approved"</formula>
    </cfRule>
    <cfRule type="expression" priority="6" aboveAverage="0" equalAverage="0" bottom="0" percent="0" rank="0" text="" dxfId="10">
      <formula>H5="Blocked"</formula>
    </cfRule>
    <cfRule type="expression" priority="7" aboveAverage="0" equalAverage="0" bottom="0" percent="0" rank="0" text="" dxfId="11">
      <formula>H5="N/A"</formula>
    </cfRule>
  </conditionalFormatting>
  <conditionalFormatting sqref="I5:I6">
    <cfRule type="expression" priority="8" aboveAverage="0" equalAverage="0" bottom="0" percent="0" rank="0" text="" dxfId="6">
      <formula>I5="Not started"</formula>
    </cfRule>
    <cfRule type="expression" priority="9" aboveAverage="0" equalAverage="0" bottom="0" percent="0" rank="0" text="" dxfId="7">
      <formula>I5="In progress"</formula>
    </cfRule>
    <cfRule type="expression" priority="10" aboveAverage="0" equalAverage="0" bottom="0" percent="0" rank="0" text="" dxfId="8">
      <formula>I5="Review"</formula>
    </cfRule>
    <cfRule type="expression" priority="11" aboveAverage="0" equalAverage="0" bottom="0" percent="0" rank="0" text="" dxfId="9">
      <formula>I5="Approved"</formula>
    </cfRule>
    <cfRule type="expression" priority="12" aboveAverage="0" equalAverage="0" bottom="0" percent="0" rank="0" text="" dxfId="10">
      <formula>I5="Blocked"</formula>
    </cfRule>
    <cfRule type="expression" priority="13" aboveAverage="0" equalAverage="0" bottom="0" percent="0" rank="0" text="" dxfId="11">
      <formula>I5="N/A"</formula>
    </cfRule>
  </conditionalFormatting>
  <conditionalFormatting sqref="J5:J6">
    <cfRule type="expression" priority="14" aboveAverage="0" equalAverage="0" bottom="0" percent="0" rank="0" text="" dxfId="6">
      <formula>J5="Not started"</formula>
    </cfRule>
    <cfRule type="expression" priority="15" aboveAverage="0" equalAverage="0" bottom="0" percent="0" rank="0" text="" dxfId="7">
      <formula>J5="In progress"</formula>
    </cfRule>
    <cfRule type="expression" priority="16" aboveAverage="0" equalAverage="0" bottom="0" percent="0" rank="0" text="" dxfId="8">
      <formula>J5="Review"</formula>
    </cfRule>
    <cfRule type="expression" priority="17" aboveAverage="0" equalAverage="0" bottom="0" percent="0" rank="0" text="" dxfId="9">
      <formula>J5="Approved"</formula>
    </cfRule>
    <cfRule type="expression" priority="18" aboveAverage="0" equalAverage="0" bottom="0" percent="0" rank="0" text="" dxfId="10">
      <formula>J5="Blocked"</formula>
    </cfRule>
    <cfRule type="expression" priority="19" aboveAverage="0" equalAverage="0" bottom="0" percent="0" rank="0" text="" dxfId="11">
      <formula>J5="N/A"</formula>
    </cfRule>
  </conditionalFormatting>
  <conditionalFormatting sqref="K5:K6">
    <cfRule type="expression" priority="20" aboveAverage="0" equalAverage="0" bottom="0" percent="0" rank="0" text="" dxfId="6">
      <formula>K5="Not started"</formula>
    </cfRule>
    <cfRule type="expression" priority="21" aboveAverage="0" equalAverage="0" bottom="0" percent="0" rank="0" text="" dxfId="7">
      <formula>K5="In progress"</formula>
    </cfRule>
    <cfRule type="expression" priority="22" aboveAverage="0" equalAverage="0" bottom="0" percent="0" rank="0" text="" dxfId="8">
      <formula>K5="Review"</formula>
    </cfRule>
    <cfRule type="expression" priority="23" aboveAverage="0" equalAverage="0" bottom="0" percent="0" rank="0" text="" dxfId="9">
      <formula>K5="Approved"</formula>
    </cfRule>
    <cfRule type="expression" priority="24" aboveAverage="0" equalAverage="0" bottom="0" percent="0" rank="0" text="" dxfId="10">
      <formula>K5="Blocked"</formula>
    </cfRule>
    <cfRule type="expression" priority="25" aboveAverage="0" equalAverage="0" bottom="0" percent="0" rank="0" text="" dxfId="11">
      <formula>K5="N/A"</formula>
    </cfRule>
  </conditionalFormatting>
  <conditionalFormatting sqref="L5:L6">
    <cfRule type="expression" priority="26" aboveAverage="0" equalAverage="0" bottom="0" percent="0" rank="0" text="" dxfId="6">
      <formula>L5="Not started"</formula>
    </cfRule>
    <cfRule type="expression" priority="27" aboveAverage="0" equalAverage="0" bottom="0" percent="0" rank="0" text="" dxfId="7">
      <formula>L5="In progress"</formula>
    </cfRule>
    <cfRule type="expression" priority="28" aboveAverage="0" equalAverage="0" bottom="0" percent="0" rank="0" text="" dxfId="8">
      <formula>L5="Review"</formula>
    </cfRule>
    <cfRule type="expression" priority="29" aboveAverage="0" equalAverage="0" bottom="0" percent="0" rank="0" text="" dxfId="9">
      <formula>L5="Approved"</formula>
    </cfRule>
    <cfRule type="expression" priority="30" aboveAverage="0" equalAverage="0" bottom="0" percent="0" rank="0" text="" dxfId="10">
      <formula>L5="Blocked"</formula>
    </cfRule>
    <cfRule type="expression" priority="31" aboveAverage="0" equalAverage="0" bottom="0" percent="0" rank="0" text="" dxfId="11">
      <formula>L5="N/A"</formula>
    </cfRule>
  </conditionalFormatting>
  <conditionalFormatting sqref="H10:H14">
    <cfRule type="expression" priority="32" aboveAverage="0" equalAverage="0" bottom="0" percent="0" rank="0" text="" dxfId="6">
      <formula>H10="Not started"</formula>
    </cfRule>
    <cfRule type="expression" priority="33" aboveAverage="0" equalAverage="0" bottom="0" percent="0" rank="0" text="" dxfId="7">
      <formula>H10="In progress"</formula>
    </cfRule>
    <cfRule type="expression" priority="34" aboveAverage="0" equalAverage="0" bottom="0" percent="0" rank="0" text="" dxfId="8">
      <formula>H10="Review"</formula>
    </cfRule>
    <cfRule type="expression" priority="35" aboveAverage="0" equalAverage="0" bottom="0" percent="0" rank="0" text="" dxfId="9">
      <formula>H10="Approved"</formula>
    </cfRule>
    <cfRule type="expression" priority="36" aboveAverage="0" equalAverage="0" bottom="0" percent="0" rank="0" text="" dxfId="10">
      <formula>H10="Blocked"</formula>
    </cfRule>
    <cfRule type="expression" priority="37" aboveAverage="0" equalAverage="0" bottom="0" percent="0" rank="0" text="" dxfId="11">
      <formula>H10="N/A"</formula>
    </cfRule>
  </conditionalFormatting>
  <dataValidations count="6">
    <dataValidation allowBlank="true" errorStyle="stop" operator="between" showDropDown="false" showErrorMessage="false" showInputMessage="false" sqref="H5:H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I5:I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J5:J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K5:K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L5:L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H10:H14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170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36"/>
  </cols>
  <sheetData>
    <row r="1" customFormat="false" ht="25.5" hidden="false" customHeight="true" outlineLevel="0" collapsed="false">
      <c r="A1" s="1" t="s">
        <v>250</v>
      </c>
    </row>
    <row r="2" customFormat="false" ht="15" hidden="false" customHeight="false" outlineLevel="0" collapsed="false">
      <c r="A2" s="2" t="s">
        <v>251</v>
      </c>
    </row>
    <row r="4" customFormat="false" ht="31.5" hidden="false" customHeight="true" outlineLevel="0" collapsed="false">
      <c r="A4" s="4" t="s">
        <v>252</v>
      </c>
      <c r="B4" s="4" t="s">
        <v>253</v>
      </c>
      <c r="C4" s="4" t="s">
        <v>254</v>
      </c>
      <c r="D4" s="4" t="s">
        <v>255</v>
      </c>
      <c r="E4" s="4" t="s">
        <v>256</v>
      </c>
      <c r="F4" s="4" t="s">
        <v>222</v>
      </c>
      <c r="G4" s="4" t="s">
        <v>73</v>
      </c>
      <c r="H4" s="4" t="s">
        <v>257</v>
      </c>
      <c r="I4" s="4" t="s">
        <v>74</v>
      </c>
    </row>
    <row r="5" customFormat="false" ht="15" hidden="false" customHeight="false" outlineLevel="0" collapsed="false">
      <c r="A5" s="5" t="s">
        <v>258</v>
      </c>
      <c r="B5" s="5" t="s">
        <v>259</v>
      </c>
      <c r="C5" s="5" t="s">
        <v>181</v>
      </c>
      <c r="D5" s="5" t="s">
        <v>260</v>
      </c>
      <c r="E5" s="5" t="s">
        <v>261</v>
      </c>
      <c r="F5" s="5" t="s">
        <v>38</v>
      </c>
      <c r="G5" s="18"/>
      <c r="H5" s="18"/>
      <c r="I5" s="18" t="s">
        <v>262</v>
      </c>
    </row>
    <row r="6" customFormat="false" ht="15" hidden="false" customHeight="false" outlineLevel="0" collapsed="false">
      <c r="A6" s="5" t="s">
        <v>263</v>
      </c>
      <c r="B6" s="5" t="s">
        <v>259</v>
      </c>
      <c r="C6" s="5" t="s">
        <v>181</v>
      </c>
      <c r="D6" s="5" t="s">
        <v>264</v>
      </c>
      <c r="E6" s="5" t="s">
        <v>261</v>
      </c>
      <c r="F6" s="5" t="s">
        <v>38</v>
      </c>
      <c r="G6" s="18"/>
      <c r="H6" s="18"/>
      <c r="I6" s="18"/>
    </row>
    <row r="7" customFormat="false" ht="15" hidden="false" customHeight="false" outlineLevel="0" collapsed="false">
      <c r="A7" s="5" t="s">
        <v>265</v>
      </c>
      <c r="B7" s="5" t="s">
        <v>259</v>
      </c>
      <c r="C7" s="5" t="s">
        <v>181</v>
      </c>
      <c r="D7" s="5" t="s">
        <v>266</v>
      </c>
      <c r="E7" s="5"/>
      <c r="F7" s="5" t="s">
        <v>38</v>
      </c>
      <c r="G7" s="18"/>
      <c r="H7" s="18"/>
      <c r="I7" s="18"/>
    </row>
    <row r="8" customFormat="false" ht="15" hidden="false" customHeight="false" outlineLevel="0" collapsed="false">
      <c r="A8" s="5" t="s">
        <v>267</v>
      </c>
      <c r="B8" s="5" t="s">
        <v>259</v>
      </c>
      <c r="C8" s="5" t="s">
        <v>181</v>
      </c>
      <c r="D8" s="5" t="s">
        <v>268</v>
      </c>
      <c r="E8" s="5" t="s">
        <v>269</v>
      </c>
      <c r="F8" s="5" t="s">
        <v>38</v>
      </c>
      <c r="G8" s="18"/>
      <c r="H8" s="18"/>
      <c r="I8" s="18" t="s">
        <v>270</v>
      </c>
    </row>
    <row r="9" customFormat="false" ht="15" hidden="false" customHeight="false" outlineLevel="0" collapsed="false">
      <c r="A9" s="5" t="s">
        <v>271</v>
      </c>
      <c r="B9" s="5" t="s">
        <v>200</v>
      </c>
      <c r="C9" s="5" t="s">
        <v>181</v>
      </c>
      <c r="D9" s="5" t="s">
        <v>272</v>
      </c>
      <c r="E9" s="5"/>
      <c r="F9" s="5" t="s">
        <v>38</v>
      </c>
      <c r="G9" s="18"/>
      <c r="H9" s="18"/>
      <c r="I9" s="18" t="s">
        <v>273</v>
      </c>
    </row>
    <row r="10" customFormat="false" ht="15" hidden="false" customHeight="false" outlineLevel="0" collapsed="false">
      <c r="A10" s="5" t="s">
        <v>274</v>
      </c>
      <c r="B10" s="5" t="s">
        <v>275</v>
      </c>
      <c r="C10" s="5" t="s">
        <v>181</v>
      </c>
      <c r="D10" s="5" t="s">
        <v>268</v>
      </c>
      <c r="E10" s="5" t="s">
        <v>276</v>
      </c>
      <c r="F10" s="5" t="s">
        <v>38</v>
      </c>
      <c r="G10" s="18"/>
      <c r="H10" s="18"/>
      <c r="I10" s="18" t="s">
        <v>277</v>
      </c>
    </row>
    <row r="11" customFormat="false" ht="15" hidden="false" customHeight="false" outlineLevel="0" collapsed="false">
      <c r="A11" s="5" t="s">
        <v>278</v>
      </c>
      <c r="B11" s="5" t="s">
        <v>275</v>
      </c>
      <c r="C11" s="5" t="s">
        <v>279</v>
      </c>
      <c r="D11" s="5" t="s">
        <v>268</v>
      </c>
      <c r="E11" s="5" t="s">
        <v>280</v>
      </c>
      <c r="F11" s="5" t="s">
        <v>38</v>
      </c>
      <c r="G11" s="18"/>
      <c r="H11" s="18"/>
      <c r="I11" s="18" t="s">
        <v>238</v>
      </c>
    </row>
    <row r="12" customFormat="false" ht="15" hidden="false" customHeight="false" outlineLevel="0" collapsed="false">
      <c r="A12" s="5" t="s">
        <v>281</v>
      </c>
      <c r="B12" s="5" t="s">
        <v>275</v>
      </c>
      <c r="C12" s="5" t="s">
        <v>279</v>
      </c>
      <c r="D12" s="5" t="s">
        <v>268</v>
      </c>
      <c r="E12" s="5" t="s">
        <v>282</v>
      </c>
      <c r="F12" s="5" t="s">
        <v>38</v>
      </c>
      <c r="G12" s="18"/>
      <c r="H12" s="18"/>
      <c r="I12" s="18" t="s">
        <v>283</v>
      </c>
    </row>
    <row r="13" customFormat="false" ht="15" hidden="false" customHeight="false" outlineLevel="0" collapsed="false">
      <c r="A13" s="5" t="s">
        <v>284</v>
      </c>
      <c r="B13" s="5" t="s">
        <v>275</v>
      </c>
      <c r="C13" s="5" t="s">
        <v>279</v>
      </c>
      <c r="D13" s="5" t="s">
        <v>268</v>
      </c>
      <c r="E13" s="5"/>
      <c r="F13" s="5" t="s">
        <v>38</v>
      </c>
      <c r="G13" s="18"/>
      <c r="H13" s="18"/>
      <c r="I13" s="18" t="s">
        <v>285</v>
      </c>
    </row>
    <row r="14" customFormat="false" ht="15" hidden="false" customHeight="false" outlineLevel="0" collapsed="false">
      <c r="A14" s="5" t="s">
        <v>286</v>
      </c>
      <c r="B14" s="5" t="s">
        <v>287</v>
      </c>
      <c r="C14" s="5" t="s">
        <v>288</v>
      </c>
      <c r="D14" s="5" t="s">
        <v>268</v>
      </c>
      <c r="E14" s="5"/>
      <c r="F14" s="5" t="s">
        <v>38</v>
      </c>
      <c r="G14" s="18"/>
      <c r="H14" s="18"/>
      <c r="I14" s="18" t="s">
        <v>289</v>
      </c>
    </row>
    <row r="15" customFormat="false" ht="15" hidden="false" customHeight="false" outlineLevel="0" collapsed="false">
      <c r="A15" s="5" t="s">
        <v>290</v>
      </c>
      <c r="B15" s="5" t="s">
        <v>287</v>
      </c>
      <c r="C15" s="5" t="s">
        <v>291</v>
      </c>
      <c r="D15" s="5" t="s">
        <v>268</v>
      </c>
      <c r="E15" s="5"/>
      <c r="F15" s="5" t="s">
        <v>38</v>
      </c>
      <c r="G15" s="18"/>
      <c r="H15" s="18"/>
      <c r="I15" s="18" t="s">
        <v>292</v>
      </c>
    </row>
    <row r="16" customFormat="false" ht="15" hidden="false" customHeight="false" outlineLevel="0" collapsed="false">
      <c r="A16" s="5" t="s">
        <v>293</v>
      </c>
      <c r="B16" s="5" t="s">
        <v>287</v>
      </c>
      <c r="C16" s="5" t="s">
        <v>291</v>
      </c>
      <c r="D16" s="5" t="s">
        <v>268</v>
      </c>
      <c r="E16" s="5" t="s">
        <v>294</v>
      </c>
      <c r="F16" s="5" t="s">
        <v>38</v>
      </c>
      <c r="G16" s="18"/>
      <c r="H16" s="18"/>
      <c r="I16" s="18" t="s">
        <v>295</v>
      </c>
    </row>
    <row r="17" customFormat="false" ht="15" hidden="false" customHeight="false" outlineLevel="0" collapsed="false">
      <c r="A17" s="5" t="s">
        <v>296</v>
      </c>
      <c r="B17" s="5" t="s">
        <v>297</v>
      </c>
      <c r="C17" s="5" t="s">
        <v>181</v>
      </c>
      <c r="D17" s="5" t="s">
        <v>268</v>
      </c>
      <c r="E17" s="5" t="s">
        <v>276</v>
      </c>
      <c r="F17" s="5" t="s">
        <v>38</v>
      </c>
      <c r="G17" s="18"/>
      <c r="H17" s="18"/>
      <c r="I17" s="18" t="s">
        <v>298</v>
      </c>
    </row>
    <row r="18" customFormat="false" ht="15" hidden="false" customHeight="false" outlineLevel="0" collapsed="false">
      <c r="A18" s="5" t="s">
        <v>299</v>
      </c>
      <c r="B18" s="5" t="s">
        <v>297</v>
      </c>
      <c r="C18" s="5" t="s">
        <v>279</v>
      </c>
      <c r="D18" s="5" t="s">
        <v>300</v>
      </c>
      <c r="E18" s="5" t="s">
        <v>261</v>
      </c>
      <c r="F18" s="5" t="s">
        <v>38</v>
      </c>
      <c r="G18" s="18"/>
      <c r="H18" s="18"/>
      <c r="I18" s="18"/>
    </row>
    <row r="19" customFormat="false" ht="15" hidden="false" customHeight="false" outlineLevel="0" collapsed="false">
      <c r="A19" s="5" t="s">
        <v>301</v>
      </c>
      <c r="B19" s="5" t="s">
        <v>302</v>
      </c>
      <c r="C19" s="5" t="s">
        <v>303</v>
      </c>
      <c r="D19" s="5" t="s">
        <v>304</v>
      </c>
      <c r="E19" s="5" t="s">
        <v>305</v>
      </c>
      <c r="F19" s="5" t="s">
        <v>39</v>
      </c>
      <c r="G19" s="18"/>
      <c r="H19" s="18"/>
      <c r="I19" s="18" t="s">
        <v>306</v>
      </c>
    </row>
    <row r="20" customFormat="false" ht="15" hidden="false" customHeight="false" outlineLevel="0" collapsed="false">
      <c r="A20" s="5" t="s">
        <v>307</v>
      </c>
      <c r="B20" s="5" t="s">
        <v>200</v>
      </c>
      <c r="C20" s="5" t="s">
        <v>308</v>
      </c>
      <c r="D20" s="5" t="s">
        <v>309</v>
      </c>
      <c r="E20" s="5" t="s">
        <v>310</v>
      </c>
      <c r="F20" s="5" t="s">
        <v>38</v>
      </c>
      <c r="G20" s="18"/>
      <c r="H20" s="18"/>
      <c r="I20" s="18" t="s">
        <v>311</v>
      </c>
    </row>
    <row r="21" customFormat="false" ht="15" hidden="false" customHeight="false" outlineLevel="0" collapsed="false">
      <c r="A21" s="5" t="s">
        <v>312</v>
      </c>
      <c r="B21" s="5" t="s">
        <v>200</v>
      </c>
      <c r="C21" s="5" t="s">
        <v>291</v>
      </c>
      <c r="D21" s="5" t="s">
        <v>309</v>
      </c>
      <c r="E21" s="5" t="s">
        <v>310</v>
      </c>
      <c r="F21" s="5" t="s">
        <v>38</v>
      </c>
      <c r="G21" s="18"/>
      <c r="H21" s="18"/>
      <c r="I21" s="18" t="s">
        <v>313</v>
      </c>
    </row>
    <row r="22" customFormat="false" ht="15" hidden="false" customHeight="false" outlineLevel="0" collapsed="false">
      <c r="A22" s="5" t="s">
        <v>314</v>
      </c>
      <c r="B22" s="5" t="s">
        <v>200</v>
      </c>
      <c r="C22" s="5" t="s">
        <v>291</v>
      </c>
      <c r="D22" s="5" t="s">
        <v>315</v>
      </c>
      <c r="E22" s="5" t="s">
        <v>310</v>
      </c>
      <c r="F22" s="5" t="s">
        <v>38</v>
      </c>
      <c r="G22" s="18"/>
      <c r="H22" s="18"/>
      <c r="I22" s="18" t="s">
        <v>316</v>
      </c>
    </row>
    <row r="23" customFormat="false" ht="15" hidden="false" customHeight="false" outlineLevel="0" collapsed="false">
      <c r="A23" s="5" t="s">
        <v>317</v>
      </c>
      <c r="B23" s="5" t="s">
        <v>318</v>
      </c>
      <c r="C23" s="5" t="s">
        <v>319</v>
      </c>
      <c r="D23" s="5" t="s">
        <v>320</v>
      </c>
      <c r="E23" s="5"/>
      <c r="F23" s="5" t="s">
        <v>38</v>
      </c>
      <c r="G23" s="18"/>
      <c r="H23" s="18"/>
      <c r="I23" s="18" t="s">
        <v>321</v>
      </c>
    </row>
  </sheetData>
  <autoFilter ref="A4:I23"/>
  <conditionalFormatting sqref="F5:F23">
    <cfRule type="expression" priority="2" aboveAverage="0" equalAverage="0" bottom="0" percent="0" rank="0" text="" dxfId="6">
      <formula>F5="Not started"</formula>
    </cfRule>
    <cfRule type="expression" priority="3" aboveAverage="0" equalAverage="0" bottom="0" percent="0" rank="0" text="" dxfId="7">
      <formula>F5="In progress"</formula>
    </cfRule>
    <cfRule type="expression" priority="4" aboveAverage="0" equalAverage="0" bottom="0" percent="0" rank="0" text="" dxfId="8">
      <formula>F5="Review"</formula>
    </cfRule>
    <cfRule type="expression" priority="5" aboveAverage="0" equalAverage="0" bottom="0" percent="0" rank="0" text="" dxfId="9">
      <formula>F5="Approved"</formula>
    </cfRule>
    <cfRule type="expression" priority="6" aboveAverage="0" equalAverage="0" bottom="0" percent="0" rank="0" text="" dxfId="10">
      <formula>F5="Blocked"</formula>
    </cfRule>
    <cfRule type="expression" priority="7" aboveAverage="0" equalAverage="0" bottom="0" percent="0" rank="0" text="" dxfId="11">
      <formula>F5="N/A"</formula>
    </cfRule>
  </conditionalFormatting>
  <dataValidations count="1">
    <dataValidation allowBlank="true" errorStyle="stop" operator="between" showDropDown="false" showErrorMessage="false" showInputMessage="false" sqref="F5:F23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2026-10-03T19:59:48Z</dcterms:created>
  <dc:creator>openpyxl</dc:creator>
  <dc:description/>
  <dc:language>en-US</dc:language>
  <cp:lastModifiedBy/>
  <dcterms:modified xsi:type="dcterms:W3CDTF">2026-10-03T19:59:48Z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