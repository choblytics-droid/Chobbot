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<sst xmlns="http://schemas.openxmlformats.org/spreadsheetml/2006/main" count="1407" uniqueCount="700">
  <si>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</si>
  <si>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</si>
  <si>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</si>
  <si>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</si>
  <si>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</si>
  <si>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</si>
  <si>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</si>
  <si>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</si>
  <si>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</si>
  <si>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</si>
  <si>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</si>
  <si>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</si>
  <si>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</si>
  <si>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</si>
  <si>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</si>
  <si>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</si>
  <si>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</si>
  <si>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</si>
  <si>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</si>
  <si>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</si>
  <si>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</si>
  <si>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</si>
  <si>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</si>
  <si>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</si>
  <si>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</si>
  <si>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</si>
  <si>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</si>
  <si>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</si>
  <si>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</si>
  <si>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</si>
  <si>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</si>
  <si>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</si>
  <si>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</si>
  <si>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</si>
  <si>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</si>
  <si>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</si>
  <si>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</si>
  <si>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</si>
  <si>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</si>
  <si>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</si>
  <si>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</si>
  <si>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</si>
  <si>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</si>
  <si>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</si>
  <si>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</si>
  <si>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</si>
  <si>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</si>
  <si>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</si>
  <si>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</si>
  <si>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</si>
  <si>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</si>
  <si>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</si>
  <si>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</si>
  <si>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</si>
  <si>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</si>
  <si>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</si>
  <si>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</si>
  <si>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</si>
  <si>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</si>
  <si>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</si>
  <si>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</si>
  <si>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</si>
  <si>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</si>
  <si>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</si>
  <si>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</si>
  <si>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</si>
  <si>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</si>
  <si>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</si>
  <si>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</si>
  <si>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</si>
  <si>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</si>
  <si>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</si>
  <si>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</si>
  <si>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</si>
  <si>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</si>
  <si>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</si>
  <si>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</si>
  <si>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Post description (short caption)</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</si>
  <si>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</si>
  <si>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</si>
  <si>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</si>
  <si>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</si>
  <si>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</si>
  <si>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</si>
  <si>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</si>
  <si>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</si>
  <si>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</si>
  <si>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</si>
  <si>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</si>
  <si>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</si>
  <si>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</si>
  <si>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</si>
  <si>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</si>
  <si>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</si>
  <si>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</si>
  <si>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</si>
  <si>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</si>
  <si>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</si>
  <si>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Catchy upbeat indie pop, 123 BPM</t>
  </si>
  <si>
    <t xml:space="preserve">54.8 s (the song; no end card)</t>
  </si>
  <si>
    <t xml:space="preserve">Anonymised retelling; permission DM drafted (in the script)</t>
  </si>
  <si>
    <t xml:space="preserve">Script: docs/scripts/ST-01_train-ride.md · 2026-10-04: song approved (master song_with_intro.wav); script v0.7 retimed. Next: style frames. · 2026-10-04: style frames approved (13 scenes, no on-screen people, the phone is the protagonist); quality band 6–10. Animatic rendering.</t>
  </si>
  <si>
    <t xml:space="preserve">A streamer's first real IRL. 3 viewers. One of them had never been on a train. Based on a true story.</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</si>
  <si>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</si>
  <si>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</si>
  <si>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</si>
  <si>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</si>
  <si>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</si>
  <si>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</si>
  <si>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</si>
  <si>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</si>
  <si>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</si>
  <si>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</si>
  <si>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</si>
  <si>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He watched his speedrun hero for years. Then, chasing a personal best with 4 viewers, the hero raided him with 450. Based on a true story.</t>
  </si>
  <si>
    <t xml:space="preserve">ST-03</t>
  </si>
  <si>
    <t xml:space="preserve">Mom talks to the stream</t>
  </si>
  <si>
    <t xml:space="preserve">https://www.reddit.com/comments/e2mdhf/</t>
  </si>
  <si>
    <t xml:space="preserve">Back to streaming for a week, he steps away to the bathroom. His mom, watching his stream, talks to the computer thinking he can hear her, then texts his girlfriend asking why he isn't answering. He laughs hard and promises to show her how chat works at Thanksgiving.</t>
  </si>
  <si>
    <t xml:space="preserve">funny, wholesome</t>
  </si>
  <si>
    <t xml:space="preserve">3, 5</t>
  </si>
  <si>
    <t xml:space="preserve">Part-timer</t>
  </si>
  <si>
    <t xml:space="preserve">Pixel art → Papercut · CRT/VHS · Kinetic type</t>
  </si>
  <si>
    <t xml:space="preserve">Bouncy ukulele pop, 128 BPM</t>
  </si>
  <si>
    <t xml:space="preserve">50–60 s</t>
  </si>
  <si>
    <t xml:space="preserve">Anonymised; ask the author first</t>
  </si>
  <si>
    <t xml:space="preserve">Arc: complete. Facts from the post + one OP comment. Don't use commenters' stories (loss of parents).</t>
  </si>
  <si>
    <t xml:space="preserve">His mom watched his stream and talked to the screen. Nobody told her about chat. Based on a true story.</t>
  </si>
  <si>
    <t xml:space="preserve">ST-04</t>
  </si>
  <si>
    <t xml:space="preserve">The drawing</t>
  </si>
  <si>
    <t xml:space="preserve">https://www.reddit.com/comments/1o4bi4r/</t>
  </si>
  <si>
    <t xml:space="preserve">A regular who dropped into every few streams just to chill showed the streamer a small drawing of their character on stream. It wasn't fancy, but it made their whole week: the first time they saw that people cared about their stream, not just the game.</t>
  </si>
  <si>
    <t xml:space="preserve">11, 14</t>
  </si>
  <si>
    <t xml:space="preserve">Pixel art → Crayon texture (shapes) · Stained glass · Constellations</t>
  </si>
  <si>
    <t xml:space="preserve">Warm indie folk pop, 122 BPM</t>
  </si>
  <si>
    <t xml:space="preserve">Arc: complete (one moment). Thin story (5 facts): the film leans on the drawing. Viewer and game unnamed.</t>
  </si>
  <si>
    <t xml:space="preserve">A viewer drew the streamer's character. That's when they knew people came for them, not the game. Based on a true story.</t>
  </si>
  <si>
    <t xml:space="preserve">ST-05</t>
  </si>
  <si>
    <t xml:space="preserve">The one who stopped coming</t>
  </si>
  <si>
    <t xml:space="preserve">https://www.reddit.com/comments/1bwbcvj/</t>
  </si>
  <si>
    <t xml:space="preserve">A viewer came to every single stream, rain or shine, and chatted with the kindest vibes. Then one day he disappeared and never came back. The streamer misses him and hopes he's alright.</t>
  </si>
  <si>
    <t xml:space="preserve">sad, open-ended</t>
  </si>
  <si>
    <t xml:space="preserve">14, 11, 8</t>
  </si>
  <si>
    <t xml:space="preserve">Grinder</t>
  </si>
  <si>
    <t xml:space="preserve">Engraving → Blueprint · Thermal · Terminal/ASCII</t>
  </si>
  <si>
    <t xml:space="preserve">Soft piano ballad that builds, 120 BPM (half-time feel)</t>
  </si>
  <si>
    <t xml:space="preserve">Arc: OPEN-ENDED: no return, no reason. End on 'no answer' / to be continued. Never imply death (only commenters raised it). Post body removed: facts from the title + OP comments.</t>
  </si>
  <si>
    <t xml:space="preserve">He came to every stream, rain or shine. Then one day he didn't. Based on a true story.</t>
  </si>
  <si>
    <t xml:space="preserve">ST-06</t>
  </si>
  <si>
    <t xml:space="preserve">They set alarms</t>
  </si>
  <si>
    <t xml:space="preserve">https://www.reddit.com/comments/ithm2q/</t>
  </si>
  <si>
    <t xml:space="preserve">An Australian streamer goes live every night from 21:30 to 2 am. His regulars are in the UK, the USA and elsewhere. This week a few of them told him they set alarms to get up and watch. Viewers thank him, which feels strange, because the stream is his happy place.</t>
  </si>
  <si>
    <t xml:space="preserve">8, 11</t>
  </si>
  <si>
    <t xml:space="preserve">Constellations / particles → LED dot-matrix (clocks) · Pixel art · Neon line</t>
  </si>
  <si>
    <t xml:space="preserve">Dreamy synth pop, 124 BPM</t>
  </si>
  <si>
    <t xml:space="preserve">Arc: complete. Leave out the weight-loss part and anything from commenters (PTSD, military, a teenager).</t>
  </si>
  <si>
    <t xml:space="preserve">Some of his viewers set alarms in the middle of the night to watch him. Based on a true story.</t>
  </si>
  <si>
    <t xml:space="preserve">ST-07</t>
  </si>
  <si>
    <t xml:space="preserve">The game that died</t>
  </si>
  <si>
    <t xml:space="preserve">https://www.reddit.com/comments/784qme/</t>
  </si>
  <si>
    <t xml:space="preserve">He streamed to no one for four months, then found regulars one by one. A new game took him to 50 viewers and friends among players and developers. Then the game died: almost everyone left. He kept streaming, stopped watching the numbers, and grew back to 18 and more. Some days are still bad.</t>
  </si>
  <si>
    <t xml:space="preserve">bittersweet, triumphant</t>
  </si>
  <si>
    <t xml:space="preserve">15, 16, 9</t>
  </si>
  <si>
    <t xml:space="preserve">Oscilloscope / vector glow (the viewer graph) → Data/UI · CRT/VHS · Halftone</t>
  </si>
  <si>
    <t xml:space="preserve">Driving alt-rock pop that drops and rebuilds, 132 BPM</t>
  </si>
  <si>
    <t xml:space="preserve">Arc: complete, honest ending (OP still has bad days). Exclude his dark joke about self-harm. Don't name the game. Numbers are self-reported.</t>
  </si>
  <si>
    <t xml:space="preserve">19 months. Zero viewers, then 50, then the game died. He kept streaming. Based on a true story.</t>
  </si>
  <si>
    <t xml:space="preserve">ST-08</t>
  </si>
  <si>
    <t xml:space="preserve">The karaoke mic</t>
  </si>
  <si>
    <t xml:space="preserve">https://www.reddit.com/comments/1i685fc/</t>
  </si>
  <si>
    <t xml:space="preserve">He sings whenever music is on, and people seemed to like it, so he bought a karaoke mic and sang while playing, belting while the enemy team ran him down. He peaked at 34 viewers, his record.</t>
  </si>
  <si>
    <t xml:space="preserve">funny, triumphant</t>
  </si>
  <si>
    <t xml:space="preserve">7, 15</t>
  </si>
  <si>
    <t xml:space="preserve">Pixel art → Kinetic type · LED dot-matrix · Halftone</t>
  </si>
  <si>
    <t xml:space="preserve">Power-pop karaoke anthem, 136 BPM</t>
  </si>
  <si>
    <t xml:space="preserve">Arc: complete. Nobody sings on screen: the mic is the protagonist (sound waves, VU meter), the game shows him losing, the counter climbs to 34.</t>
  </si>
  <si>
    <t xml:space="preserve">He bought a karaoke mic and sang while losing. 34 viewers, his record. Based on a true story.</t>
  </si>
  <si>
    <t xml:space="preserve">ST-09</t>
  </si>
  <si>
    <t xml:space="preserve">First stream, first donation</t>
  </si>
  <si>
    <t xml:space="preserve">https://www.reddit.com/comments/1e4y7xf/</t>
  </si>
  <si>
    <t xml:space="preserve">Nervous on their first stream, they expected no one. A few friends and one or two strangers came and chatted. One viewer asked if he could donate; they said no; he insisted. It wasn't much, but it made their day, and after the stream they set up a schedule.</t>
  </si>
  <si>
    <t xml:space="preserve">wholesome, hopeful</t>
  </si>
  <si>
    <t xml:space="preserve">1, 15</t>
  </si>
  <si>
    <t xml:space="preserve">Papercut → Pixel art · Neon line · Constellations</t>
  </si>
  <si>
    <t xml:space="preserve">Hopeful acoustic pop, 124 BPM</t>
  </si>
  <si>
    <t xml:space="preserve">Arc: complete for the moment (whether they kept the schedule is unknown: don't claim it). Amount not stated.</t>
  </si>
  <si>
    <t xml:space="preserve">First stream. Nervous. Expected no one. Then a stranger asked if he could donate. Based on a true story.</t>
  </si>
  <si>
    <t xml:space="preserve">ST-10</t>
  </si>
  <si>
    <t xml:space="preserve">The algorithm stopped</t>
  </si>
  <si>
    <t xml:space="preserve">https://www.reddit.com/comments/1n4p4yb/</t>
  </si>
  <si>
    <t xml:space="preserve">Two weeks into streaming, the first 13 days were amazing: thousands of views, donations, a busy chat. Around day 14 the views tanked and the platform stopped showing the stream. Now barely anyone comes, and nobody stays, because they see no one else there.</t>
  </si>
  <si>
    <t xml:space="preserve">15, 1</t>
  </si>
  <si>
    <t xml:space="preserve">Data/UI → Glitch · Thermal · Terminal/ASCII</t>
  </si>
  <si>
    <t xml:space="preserve">Dark synthwave pop whose drop cuts out, 128 BPM</t>
  </si>
  <si>
    <t xml:space="preserve">Arc: OPEN-ENDED (no resolution). Numbers differ (100 vs 30): use 'barely anyone'. Don't claim a ban. No platform logos/UI.</t>
  </si>
  <si>
    <t xml:space="preserve">13 days of thousands of viewers. On day 14 the algorithm stopped. Based on a true story.</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</si>
  <si>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</si>
  <si>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</si>
  <si>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</si>
  <si>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</si>
  <si>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</si>
  <si>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</si>
  <si>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</si>
  <si>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</si>
  <si>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</si>
  <si>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</si>
  <si>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</si>
  <si>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</si>
  <si>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</si>
  <si>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</si>
  <si>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</si>
  <si>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</si>
  <si>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</si>
  <si>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</si>
  <si>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</si>
  <si>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</si>
  <si>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</si>
  <si>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</si>
  <si>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</si>
  <si>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</si>
  <si>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</si>
  <si>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</si>
  <si>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</si>
  <si>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</si>
  <si>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</si>
  <si>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</si>
  <si>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</si>
  <si>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</si>
  <si>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</si>
  <si>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</si>
  <si>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</si>
  <si>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</si>
  <si>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</si>
  <si>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</si>
  <si>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</si>
  <si>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</si>
  <si>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</si>
  <si>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</si>
  <si>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</si>
  <si>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</si>
  <si>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</si>
  <si>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</si>
  <si>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</si>
  <si>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</si>
  <si>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</si>
  <si>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</si>
  <si>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</si>
  <si>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</si>
  <si>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</si>
  <si>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</si>
  <si>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</si>
  <si>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</si>
  <si>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</si>
  <si>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</si>
  <si>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</si>
  <si>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</si>
  <si>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</si>
  <si>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</si>
  <si>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</si>
  <si>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</si>
  <si>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</si>
  <si>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</si>
  <si>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</si>
  <si>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</si>
  <si>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</si>
  <si>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</si>
  <si>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</si>
  <si>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</si>
  <si>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</si>
  <si>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</si>
  <si>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</si>
  <si>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</si>
  <si>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</si>
  <si>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</si>
  <si>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</si>
  <si>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</si>
  <si>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</si>
  <si>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</si>
  <si>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</si>
  <si>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</si>
  <si>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</si>
  <si>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</si>
  <si>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</si>
  <si>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</si>
  <si>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</si>
  <si>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</si>
  <si>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</si>
  <si>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</si>
  <si>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</si>
  <si>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</si>
  <si>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</si>
  <si>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</si>
  <si>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</si>
  <si>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</si>
  <si>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</si>
  <si>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</si>
  <si>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</si>
  <si>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</si>
  <si>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</si>
  <si>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</si>
  <si>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</si>
  <si>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</si>
  <si>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</si>
  <si>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</si>
  <si>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</si>
  <si>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</si>
  <si>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</si>
  <si>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</si>
  <si>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</si>
  <si>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</si>
  <si>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</si>
  <si>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</si>
  <si>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</si>
  <si>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</si>
  <si>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</si>
  <si>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</si>
  <si>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</si>
  <si>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</si>
  <si>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</si>
  <si>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</si>
  <si>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</si>
  <si>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</si>
  <si>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</si>
  <si>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</si>
  <si>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</si>
  <si>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</si>
  <si>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</si>
  <si>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</si>
  <si>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</si>
  <si>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</si>
  <si>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</si>
  <si>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</si>
  <si>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</si>
  <si>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</si>
  <si>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</si>
  <si>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</si>
  <si>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</si>
  <si>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</si>
  <si>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</si>
  <si>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</si>
  <si>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</si>
  <si>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</si>
  <si>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</si>
  <si>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</si>
  <si>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</si>
  <si>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</si>
  <si>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</si>
  <si>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54.8 s (song = film)</t>
  </si>
  <si>
    <t xml:space="preserve">Starts with the song; “Based on a true story” pops on over the desk. Desk: monitor dark, door opens, phone goes LIVE → the town at Christmas, phone on its tripod filming the carousel → neon square, 3 watching → station through the stream UI: “End stream?”, then “wait, I've never been on a train” → the train pulls out; “can you keep it on?” → the city falls away into farmland, signal bars drop → signal lost → “thanks for being so chill. amazing stream” → front page “3 VIEWERS. ENOUGH.” → globe: a line to the other side of the world → back in town → next morning: “They kept streaming IRL.” + credit. No people, no brand.</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</si>
  <si>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</si>
  <si>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</si>
  <si>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</si>
  <si>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</si>
  <si>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</si>
  <si>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</si>
  <si>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</si>
  <si>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</si>
  <si>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</si>
  <si>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Starts with the song; the hook sticker “Based on a true story” pops on over the first shot. An empty chair and a live stream; on the other side, a phone screen with the stream and a voice bubble talking to it that never reaches him; texts pile up; he's back, laughing; Thanksgiving: two blank figures at one laptop, the chat box open. No faces: objects, UI, blank humans or simple pixel art. Ends on the story with the credit (no brand).</t>
  </si>
  <si>
    <t xml:space="preserve">Written after the script is approved</t>
  </si>
  <si>
    <t xml:space="preserve">Proposed genre: Bouncy ukulele pop, 128 BPM. Arc: complete. Facts from the post + one OP comment. Don't use commenters' stories (loss of parents).</t>
  </si>
  <si>
    <t xml:space="preserve">Starts with the song; the hook sticker “Based on a true story” pops on over the first shot. The game on screen, a quiet chat; one name drops in every few streams; a small crayon drawing of the character appears in chat and grows to fill the frame; the drawing turns into a stained-glass window. No faces: objects, UI, blank humans or simple pixel art. Ends on the story with the credit (no brand).</t>
  </si>
  <si>
    <t xml:space="preserve">Proposed genre: Warm indie folk pop, 122 BPM. Arc: complete (one moment). Thin story (5 facts): the film leans on the drawing. Viewer and game unnamed.</t>
  </si>
  <si>
    <t xml:space="preserve">Starts with the song; the hook sticker “Based on a true story” pops on over the first shot. The same username at the top of chat, stream after stream (rain on the window, sun, snow); one day the chat scrolls and the name doesn't come; an empty seat in the chat list; the streamer's message: hope you're alright. No faces: objects, UI, blank humans or simple pixel art. Ends on the story with the credit (no brand).</t>
  </si>
  <si>
    <t xml:space="preserve">Proposed genre: Soft piano ballad that builds, 120 BPM (half-time feel). Arc: OPEN-ENDED: no return, no reason. End on 'no answer' / to be continued. Never imply death (only commenters raised it). Post body removed: facts from the title + OP comments.</t>
  </si>
  <si>
    <t xml:space="preserve">Starts with the song; the hook sticker “Based on a true story” pops on over the first shot. Night over one city, a lit window, LIVE; the globe turns: alarm clocks ring in dark rooms in other time zones, screens light up; dot-matrix clocks in three cities; the chat fills; at 2 am he thanks everyone. No faces: objects, UI, blank humans or simple pixel art. Ends on the story with the credit (no brand).</t>
  </si>
  <si>
    <t xml:space="preserve">Proposed genre: Dreamy synth pop, 124 BPM. Arc: complete. Leave out the weight-loss part and anything from commenters (PTSD, military, a teenager).</t>
  </si>
  <si>
    <t xml:space="preserve">Starts with the song; the hook sticker “Based on a true story” pops on over the first shot. A flat line on a viewer graph; it rises one regular at a time; a new game: the line shoots up, friends' names multiply; the game's servers go dark, the line falls; he keeps going live; the line climbs slowly, steadier. No faces: objects, UI, blank humans or simple pixel art. Ends on the story with the credit (no brand).</t>
  </si>
  <si>
    <t xml:space="preserve">Proposed genre: Driving alt-rock pop that drops and rebuilds, 132 BPM. Arc: complete, honest ending (OP still has bad days). Exclude his dark joke about self-harm. Don't name the game. Numbers are self-reported.</t>
  </si>
  <si>
    <t xml:space="preserve">Starts with the song; the hook sticker “Based on a true story” pops on over the first shot. A karaoke mic arrives in a box; the game starts, a VU meter jumps; the enemy team runs him down while the sound waves go wild; the viewer counter ticks up with every chorus to 34; a record badge. No faces: objects, UI, blank humans or simple pixel art. Ends on the story with the credit (no brand).</t>
  </si>
  <si>
    <t xml:space="preserve">Proposed genre: Power-pop karaoke anthem, 136 BPM. Arc: complete. Nobody sings on screen: the mic is the protagonist (sound waves, VU meter), the game shows him losing, the counter climbs to 34.</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</si>
  <si>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</si>
  <si>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</si>
  <si>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</si>
  <si>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</si>
  <si>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</si>
  <si>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</si>
  <si>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</si>
  <si>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</si>
  <si>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</si>
  <si>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</si>
  <si>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</si>
  <si>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</si>
  <si>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</si>
  <si>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</si>
  <si>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</si>
  <si>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</si>
  <si>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</si>
  <si>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</si>
  <si>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</si>
  <si>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</si>
  <si>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</si>
  <si>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</si>
  <si>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</si>
  <si>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</si>
  <si>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</si>
  <si>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</si>
  <si>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</si>
  <si>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</si>
  <si>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</si>
  <si>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</si>
  <si>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</si>
  <si>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</si>
  <si>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</si>
  <si>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</si>
  <si>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</si>
  <si>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</si>
  <si>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</si>
  <si>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</si>
  <si>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</si>
  <si>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</si>
  <si>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</si>
  <si>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</si>
  <si>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</si>
  <si>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</si>
  <si>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</si>
  <si>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</si>
  <si>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</si>
  <si>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</si>
  <si>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</si>
  <si>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</si>
  <si>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</si>
  <si>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</si>
  <si>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</si>
  <si>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</si>
  <si>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</si>
  <si>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</si>
  <si>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</si>
  <si>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</si>
  <si>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</si>
  <si>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</si>
  <si>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</si>
  <si>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</si>
  <si>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</si>
  <si>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</si>
  <si>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Starts with the song; the hook sticker “Based on a true story” pops on over the first shot. A 'Go live' button and a shaking cursor; viewer count 0, then friends' names, then a stranger; 'can I donate?' 'no' 'please'; a small donation alert; after the stream a blank calendar fills with stream days. No faces: objects, UI, blank humans or simple pixel art. Ends on the story with the credit (no brand).</t>
  </si>
  <si>
    <t xml:space="preserve">Proposed genre: Hopeful acoustic pop, 124 BPM. Arc: complete for the moment (whether they kept the schedule is unknown: don't claim it). Amount not stated.</t>
  </si>
  <si>
    <t xml:space="preserve">Starts with the song; the hook sticker “Based on a true story” pops on over the first shot. A feed of streams scrolling fast; his stream pops up again and again, the view counter racing, chat flying; a calendar ticks to day 14; the feed scrolls past him; the counter drops; an empty chat; a cursor waiting. No faces: objects, UI, blank humans or simple pixel art. Ends on the story with the credit (no brand).</t>
  </si>
  <si>
    <t xml:space="preserve">Proposed genre: Dark synthwave pop whose drop cuts out, 128 BPM. Arc: OPEN-ENDED (no resolution). Numbers differ (100 vs 30): use 'barely anyone'. Don't claim a ban. No platform logos/UI.</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</si>
  <si>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</si>
  <si>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</si>
  <si>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</si>
  <si>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</si>
  <si>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</si>
  <si>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</si>
  <si>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</si>
  <si>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</si>
  <si>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</si>
  <si>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</si>
  <si>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</si>
  <si>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</si>
  <si>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</si>
  <si>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</si>
  <si>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</si>
  <si>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</si>
  <si>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</si>
  <si>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</si>
  <si>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</si>
  <si>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</si>
  <si>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</si>
  <si>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</si>
  <si>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</si>
  <si>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</si>
  <si>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</si>
  <si>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</si>
  <si>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</si>
  <si>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</si>
  <si>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</si>
  <si>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</si>
  <si>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</si>
  <si>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</si>
  <si>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</si>
  <si>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</si>
  <si>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</si>
  <si>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</si>
  <si>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</si>
  <si>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</si>
  <si>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</si>
  <si>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</si>
  <si>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</si>
  <si>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</si>
  <si>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</si>
  <si>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</si>
  <si>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</si>
  <si>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</si>
  <si>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</si>
  <si>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</si>
  <si>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</si>
  <si>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</si>
  <si>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</si>
  <si>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</si>
  <si>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</si>
  <si>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</si>
  <si>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</si>
  <si>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</si>
  <si>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</si>
  <si>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</si>
  <si>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</si>
  <si>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</si>
  <si>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</si>
  <si>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</si>
  <si>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</si>
  <si>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</si>
  <si>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</si>
  <si>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</si>
  <si>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</si>
  <si>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</si>
  <si>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</si>
  <si>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</si>
  <si>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</si>
  <si>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</si>
  <si>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</si>
  <si>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</si>
  <si>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</si>
  <si>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</si>
  <si>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</si>
  <si>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</si>
  <si>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</si>
  <si>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</si>
  <si>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</si>
  <si>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</si>
  <si>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</si>
  <si>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</si>
  <si>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</si>
  <si>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</si>
  <si>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</si>
  <si>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</si>
  <si>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</si>
  <si>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</si>
  <si>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</si>
  <si>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</si>
  <si>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</si>
  <si>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</si>
  <si>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</si>
  <si>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</si>
  <si>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</si>
  <si>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</si>
  <si>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</si>
  <si>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</si>
  <si>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</si>
  <si>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</si>
  <si>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</si>
  <si>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</si>
  <si>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</si>
  <si>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</si>
  <si>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</si>
  <si>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</si>
  <si>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</si>
  <si>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</si>
  <si>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</si>
  <si>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</si>
  <si>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</si>
  <si>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</si>
  <si>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</si>
  <si>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</si>
  <si>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</si>
  <si>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</si>
  <si>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</si>
  <si>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</si>
  <si>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</si>
  <si>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</si>
  <si>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</si>
  <si>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</si>
  <si>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</si>
  <si>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</si>
  <si>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</si>
  <si>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</si>
  <si>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</si>
  <si>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</si>
  <si>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</si>
  <si>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</si>
  <si>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</si>
  <si>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</si>
  <si>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</si>
  <si>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</si>
  <si>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</si>
  <si>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</si>
  <si>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</si>
  <si>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</si>
  <si>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</si>
  <si>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</si>
  <si>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</si>
  <si>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</si>
  <si>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</si>
  <si>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</si>
  <si>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</si>
  <si>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</si>
  <si>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</si>
  <si>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</si>
  <si>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</si>
  <si>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</si>
  <si>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</si>
  <si>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</si>
  <si>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</si>
  <si>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</si>
  <si>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</si>
  <si>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</si>
  <si>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</si>
  <si>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</si>
  <si>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</si>
  <si>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</si>
  <si>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</si>
  <si>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</si>
  <si>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</si>
  <si>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</si>
  <si>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</si>
  <si>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</si>
  <si>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</si>
  <si>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</si>
  <si>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</si>
  <si>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</si>
  <si>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</si>
  <si>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</si>
  <si>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</si>
  <si>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</si>
  <si>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</si>
  <si>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</si>
  <si>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</si>
  <si>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</si>
  <si>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</si>
  <si>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</si>
  <si>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</si>
  <si>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</si>
  <si>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</si>
  <si>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</si>
  <si>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</si>
  <si>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</si>
  <si>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</si>
  <si>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</si>
  <si>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</si>
  <si>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</si>
  <si>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</si>
  <si>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</si>
  <si>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</si>
  <si>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</si>
  <si>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</si>
  <si>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</si>
  <si>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</si>
  <si>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</si>
  <si>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</si>
  <si>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</si>
  <si>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</si>
  <si>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</si>
  <si>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</si>
  <si>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</si>
  <si>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</si>
  <si>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</si>
  <si>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</si>
  <si>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</si>
  <si>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</si>
  <si>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</si>
  <si>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</si>
  <si>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</si>
  <si>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</si>
  <si>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</si>
  <si>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</si>
  <si>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</si>
  <si>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</si>
  <si>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</si>
  <si>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</si>
  <si>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</si>
  <si>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</si>
  <si>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t xml:space="preserve">《光先到》 / pdoom 4K</t>
  </si>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</sst>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charset val="1"/>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bottom" textRotation="0" wrapText="false" indent="0" shrinkToFit="false"/>
      <protection locked="true" hidden="false"/>
    </xf>
    <xf numFmtId="166" fontId="9" fillId="11"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50"/>
    <col collapsed="false" customWidth="true" hidden="false" outlineLevel="0" max="4" min="4" style="1" width="30"/>
    <col collapsed="false" customWidth="true" hidden="false" outlineLevel="0" max="5" min="5" style="1" width="9"/>
    <col collapsed="false" customWidth="true" hidden="false" outlineLevel="0" max="7" min="6" style="1" width="15"/>
    <col collapsed="false" customWidth="true" hidden="false" outlineLevel="0" max="8" min="8" style="1" width="18"/>
  </cols>
  <sheetData>
    <row r="1" customFormat="false" ht="25.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true" outlineLevel="0" collapsed="false">
      <c r="A6" s="6" t="s">
        <v>11</v>
      </c>
      <c r="B6" s="6" t="s">
        <v>12</v>
      </c>
      <c r="C6" s="6" t="s">
        <v>13</v>
      </c>
      <c r="D6" s="6" t="s">
        <v>14</v>
      </c>
      <c r="E6" s="6" t="n">
        <f aca="false">COUNTA('1 Streamer Stories'!A6:A15)</f>
        <v>10</v>
      </c>
      <c r="F6" s="6" t="n">
        <f aca="false">COUNTIF('1 Streamer Stories'!M6:M15,"Approved")</f>
        <v>1</v>
      </c>
      <c r="G6" s="6" t="n">
        <f aca="false">COUNTIF('1 Streamer Stories'!N6:N15,"Approved")</f>
        <v>1</v>
      </c>
      <c r="H6" s="6" t="n">
        <f aca="false">COUNTIF('1 Streamer Stories'!Q6:Q15,"Approved")</f>
        <v>0</v>
      </c>
    </row>
    <row r="7" customFormat="false" ht="15" hidden="false" customHeight="true" outlineLevel="0" collapsed="false">
      <c r="A7" s="6" t="s">
        <v>15</v>
      </c>
      <c r="B7" s="6" t="s">
        <v>16</v>
      </c>
      <c r="C7" s="6" t="s">
        <v>17</v>
      </c>
      <c r="D7" s="6" t="s">
        <v>18</v>
      </c>
      <c r="E7" s="6" t="n">
        <f aca="false">COUNTA('2 Brand · Generic'!A5:A20)</f>
        <v>16</v>
      </c>
      <c r="F7" s="6" t="n">
        <f aca="false">COUNTIF('2 Brand · Generic'!O5:O20,"Approved")</f>
        <v>0</v>
      </c>
      <c r="G7" s="6" t="n">
        <f aca="false">COUNTIF('2 Brand · Generic'!P5:P20,"Approved")</f>
        <v>0</v>
      </c>
      <c r="H7" s="6" t="n">
        <f aca="false">COUNTIF('2 Brand · Generic'!S5:S20,"Approved")</f>
        <v>0</v>
      </c>
    </row>
    <row r="8" customFormat="false" ht="15" hidden="false" customHeight="true" outlineLevel="0" collapsed="false">
      <c r="A8" s="6" t="s">
        <v>19</v>
      </c>
      <c r="B8" s="6" t="s">
        <v>20</v>
      </c>
      <c r="C8" s="6" t="s">
        <v>21</v>
      </c>
      <c r="D8" s="6" t="s">
        <v>18</v>
      </c>
      <c r="E8" s="6" t="n">
        <f aca="false">COUNTA('3 Brand · Master'!A5:A6)</f>
        <v>2</v>
      </c>
      <c r="F8" s="6" t="n">
        <f aca="false">COUNTIF('3 Brand · Master'!H5:H6,"Approved")</f>
        <v>0</v>
      </c>
      <c r="G8" s="6" t="n">
        <f aca="false">COUNTIF('3 Brand · Master'!I5:I6,"Approved")</f>
        <v>0</v>
      </c>
      <c r="H8" s="6" t="n">
        <f aca="false">COUNTIF('3 Brand · Master'!L5:L6,"Approved")</f>
        <v>0</v>
      </c>
    </row>
    <row r="10" customFormat="false" ht="15" hidden="false" customHeight="true" outlineLevel="0" collapsed="false">
      <c r="A10" s="4" t="s">
        <v>22</v>
      </c>
    </row>
    <row r="11" customFormat="false" ht="15" hidden="false" customHeight="true" outlineLevel="0" collapsed="false">
      <c r="A11" s="7" t="s">
        <v>23</v>
      </c>
      <c r="C11" s="3" t="s">
        <v>24</v>
      </c>
    </row>
    <row r="12" customFormat="false" ht="15" hidden="false" customHeight="true" outlineLevel="0" collapsed="false">
      <c r="A12" s="7" t="s">
        <v>25</v>
      </c>
    </row>
    <row r="13" customFormat="false" ht="15" hidden="false" customHeight="true" outlineLevel="0" collapsed="false">
      <c r="A13" s="7" t="s">
        <v>26</v>
      </c>
    </row>
    <row r="14" customFormat="false" ht="15" hidden="false" customHeight="true" outlineLevel="0" collapsed="false">
      <c r="A14" s="7" t="s">
        <v>27</v>
      </c>
    </row>
    <row r="15" customFormat="false" ht="15" hidden="false" customHeight="true" outlineLevel="0" collapsed="false">
      <c r="A15" s="7" t="s">
        <v>28</v>
      </c>
    </row>
    <row r="16" customFormat="false" ht="15" hidden="false" customHeight="true" outlineLevel="0" collapsed="false">
      <c r="A16" s="7" t="s">
        <v>29</v>
      </c>
    </row>
    <row r="17" customFormat="false" ht="15" hidden="false" customHeight="true" outlineLevel="0" collapsed="false">
      <c r="A17" s="7" t="s">
        <v>30</v>
      </c>
    </row>
    <row r="18" customFormat="false" ht="15" hidden="false" customHeight="true" outlineLevel="0" collapsed="false">
      <c r="A18" s="7" t="s">
        <v>31</v>
      </c>
    </row>
    <row r="21" customFormat="false" ht="15" hidden="false" customHeight="true" outlineLevel="0" collapsed="false">
      <c r="A21" s="4" t="s">
        <v>32</v>
      </c>
    </row>
    <row r="22" customFormat="false" ht="15" hidden="false" customHeight="true" outlineLevel="0" collapsed="false">
      <c r="A22" s="8" t="s">
        <v>33</v>
      </c>
      <c r="C22" s="7" t="s">
        <v>34</v>
      </c>
    </row>
    <row r="23" customFormat="false" ht="15" hidden="false" customHeight="true" outlineLevel="0" collapsed="false">
      <c r="A23" s="9" t="s">
        <v>35</v>
      </c>
      <c r="C23" s="7" t="s">
        <v>36</v>
      </c>
    </row>
    <row r="25" customFormat="false" ht="15" hidden="false" customHeight="true" outlineLevel="0" collapsed="false">
      <c r="A25" s="10" t="s">
        <v>37</v>
      </c>
    </row>
    <row r="26" customFormat="false" ht="15" hidden="false" customHeight="true" outlineLevel="0" collapsed="false">
      <c r="A26" s="11" t="s">
        <v>38</v>
      </c>
    </row>
    <row r="27" customFormat="false" ht="15" hidden="false" customHeight="true" outlineLevel="0" collapsed="false">
      <c r="A27" s="12" t="s">
        <v>39</v>
      </c>
    </row>
    <row r="28" customFormat="false" ht="15" hidden="false" customHeight="true" outlineLevel="0" collapsed="false">
      <c r="A28" s="13" t="s">
        <v>40</v>
      </c>
    </row>
    <row r="29" customFormat="false" ht="15" hidden="false" customHeight="true" outlineLevel="0" collapsed="false">
      <c r="A29" s="14" t="s">
        <v>41</v>
      </c>
    </row>
    <row r="30" customFormat="false" ht="15" hidden="false" customHeight="true" outlineLevel="0" collapsed="false">
      <c r="A30" s="15" t="s">
        <v>42</v>
      </c>
    </row>
    <row r="31" customFormat="false" ht="15" hidden="false" customHeight="true" outlineLevel="0" collapsed="false">
      <c r="A31" s="16" t="s">
        <v>43</v>
      </c>
    </row>
    <row r="34" customFormat="false" ht="15" hidden="false" customHeight="true" outlineLevel="0" collapsed="false">
      <c r="A34" s="4" t="s">
        <v>44</v>
      </c>
    </row>
    <row r="35" customFormat="false" ht="15" hidden="false" customHeight="true" outlineLevel="0" collapsed="false">
      <c r="A35" s="7" t="s">
        <v>45</v>
      </c>
    </row>
    <row r="36" customFormat="false" ht="15" hidden="false" customHeight="true" outlineLevel="0" collapsed="false">
      <c r="A36" s="7" t="s">
        <v>46</v>
      </c>
    </row>
    <row r="37" customFormat="false" ht="15" hidden="false" customHeight="true" outlineLevel="0" collapsed="false">
      <c r="A37" s="7" t="s">
        <v>47</v>
      </c>
    </row>
    <row r="38" customFormat="false" ht="15" hidden="false" customHeight="true" outlineLevel="0" collapsed="false">
      <c r="A38" s="7" t="s">
        <v>48</v>
      </c>
    </row>
    <row r="39" customFormat="false" ht="15" hidden="false" customHeight="true" outlineLevel="0" collapsed="false">
      <c r="A39" s="7" t="s">
        <v>49</v>
      </c>
    </row>
    <row r="40" customFormat="false" ht="15" hidden="false" customHeight="true" outlineLevel="0" collapsed="false">
      <c r="A40" s="7" t="s">
        <v>50</v>
      </c>
    </row>
    <row r="41" customFormat="false" ht="15" hidden="false" customHeight="true" outlineLevel="0" collapsed="false">
      <c r="A41" s="7" t="s">
        <v>51</v>
      </c>
    </row>
    <row r="42" customFormat="false" ht="15" hidden="false" customHeight="true" outlineLevel="0" collapsed="false">
      <c r="A42" s="17" t="s">
        <v>52</v>
      </c>
    </row>
    <row r="43" customFormat="false" ht="15" hidden="false" customHeight="true" outlineLevel="0" collapsed="false">
      <c r="A43" s="7"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V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30"/>
    <col collapsed="false" customWidth="true" hidden="false" outlineLevel="0" max="4" min="4" style="1" width="44"/>
    <col collapsed="false" customWidth="true" hidden="false" outlineLevel="0" max="5" min="5" style="1" width="12"/>
    <col collapsed="false" customWidth="true" hidden="false" outlineLevel="0" max="6" min="6" style="1" width="9"/>
    <col collapsed="false" customWidth="true" hidden="false" outlineLevel="0" max="7" min="7" style="1" width="11"/>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9"/>
    <col collapsed="false" customWidth="true" hidden="false" outlineLevel="0" max="12" min="12" style="1" width="22"/>
    <col collapsed="false" customWidth="true" hidden="false" outlineLevel="0" max="16" min="13" style="1" width="12"/>
    <col collapsed="false" customWidth="true" hidden="false" outlineLevel="0" max="17" min="17" style="1" width="13"/>
    <col collapsed="false" customWidth="true" hidden="false" outlineLevel="0" max="18" min="18" style="1" width="12"/>
    <col collapsed="false" customWidth="true" hidden="false" outlineLevel="0" max="19" min="19" style="1" width="18"/>
    <col collapsed="false" customWidth="true" hidden="false" outlineLevel="0" max="20" min="20" style="1" width="12"/>
    <col collapsed="false" customWidth="true" hidden="false" outlineLevel="0" max="21" min="21" style="1" width="30"/>
    <col collapsed="false" customWidth="true" hidden="false" outlineLevel="0" max="22" min="22" style="1" width="48"/>
  </cols>
  <sheetData>
    <row r="1" customFormat="false" ht="25.5" hidden="false" customHeight="true" outlineLevel="0" collapsed="false">
      <c r="A1" s="2" t="s">
        <v>54</v>
      </c>
    </row>
    <row r="2" customFormat="false" ht="15" hidden="false" customHeight="true" outlineLevel="0" collapsed="false">
      <c r="A2" s="3" t="s">
        <v>55</v>
      </c>
    </row>
    <row r="4" customFormat="false" ht="31.5" hidden="false" customHeight="true" outlineLevel="0" collapsed="false">
      <c r="A4" s="5" t="s">
        <v>56</v>
      </c>
      <c r="B4" s="5" t="s">
        <v>57</v>
      </c>
      <c r="C4" s="5" t="s">
        <v>58</v>
      </c>
      <c r="D4" s="5" t="s">
        <v>59</v>
      </c>
      <c r="E4" s="5" t="s">
        <v>60</v>
      </c>
      <c r="F4" s="5" t="s">
        <v>61</v>
      </c>
      <c r="G4" s="5" t="s">
        <v>62</v>
      </c>
      <c r="H4" s="5" t="s">
        <v>63</v>
      </c>
      <c r="I4" s="5" t="s">
        <v>64</v>
      </c>
      <c r="J4" s="5" t="s">
        <v>65</v>
      </c>
      <c r="K4" s="5" t="s">
        <v>66</v>
      </c>
      <c r="L4" s="5" t="s">
        <v>67</v>
      </c>
      <c r="M4" s="5" t="s">
        <v>68</v>
      </c>
      <c r="N4" s="5" t="s">
        <v>69</v>
      </c>
      <c r="O4" s="5" t="s">
        <v>70</v>
      </c>
      <c r="P4" s="5" t="s">
        <v>71</v>
      </c>
      <c r="Q4" s="5" t="s">
        <v>72</v>
      </c>
      <c r="R4" s="5" t="s">
        <v>73</v>
      </c>
      <c r="S4" s="5" t="s">
        <v>74</v>
      </c>
      <c r="T4" s="5" t="s">
        <v>75</v>
      </c>
      <c r="U4" s="5" t="s">
        <v>76</v>
      </c>
      <c r="V4" s="5" t="s">
        <v>77</v>
      </c>
    </row>
    <row r="5" customFormat="false" ht="23.25" hidden="false" customHeight="true" outlineLevel="0" collapsed="false">
      <c r="A5" s="18" t="s">
        <v>78</v>
      </c>
      <c r="B5" s="18" t="s">
        <v>79</v>
      </c>
      <c r="C5" s="18" t="s">
        <v>80</v>
      </c>
      <c r="D5" s="18" t="s">
        <v>81</v>
      </c>
      <c r="E5" s="18" t="s">
        <v>82</v>
      </c>
      <c r="F5" s="18" t="s">
        <v>83</v>
      </c>
      <c r="G5" s="18" t="s">
        <v>84</v>
      </c>
      <c r="H5" s="18" t="s">
        <v>85</v>
      </c>
      <c r="I5" s="18" t="s">
        <v>86</v>
      </c>
      <c r="J5" s="18" t="s">
        <v>87</v>
      </c>
      <c r="K5" s="18" t="s">
        <v>88</v>
      </c>
      <c r="L5" s="18" t="s">
        <v>89</v>
      </c>
      <c r="M5" s="18" t="s">
        <v>39</v>
      </c>
      <c r="N5" s="18" t="s">
        <v>38</v>
      </c>
      <c r="O5" s="18" t="s">
        <v>38</v>
      </c>
      <c r="P5" s="18" t="s">
        <v>38</v>
      </c>
      <c r="Q5" s="18" t="s">
        <v>38</v>
      </c>
      <c r="R5" s="18"/>
      <c r="S5" s="18" t="s">
        <v>90</v>
      </c>
      <c r="T5" s="18"/>
      <c r="U5" s="18" t="s">
        <v>91</v>
      </c>
    </row>
    <row r="6" customFormat="false" ht="34.5" hidden="false" customHeight="true" outlineLevel="0" collapsed="false">
      <c r="A6" s="6" t="s">
        <v>92</v>
      </c>
      <c r="B6" s="19" t="s">
        <v>93</v>
      </c>
      <c r="C6" s="19" t="s">
        <v>94</v>
      </c>
      <c r="D6" s="19" t="s">
        <v>95</v>
      </c>
      <c r="E6" s="19" t="s">
        <v>82</v>
      </c>
      <c r="F6" s="19" t="s">
        <v>96</v>
      </c>
      <c r="G6" s="19" t="s">
        <v>84</v>
      </c>
      <c r="H6" s="6" t="s">
        <v>97</v>
      </c>
      <c r="I6" s="19" t="s">
        <v>98</v>
      </c>
      <c r="J6" s="6" t="s">
        <v>87</v>
      </c>
      <c r="K6" s="6" t="s">
        <v>99</v>
      </c>
      <c r="L6" s="19" t="s">
        <v>100</v>
      </c>
      <c r="M6" s="6" t="s">
        <v>41</v>
      </c>
      <c r="N6" s="6" t="s">
        <v>41</v>
      </c>
      <c r="O6" s="6" t="s">
        <v>41</v>
      </c>
      <c r="P6" s="6" t="s">
        <v>41</v>
      </c>
      <c r="Q6" s="6" t="s">
        <v>39</v>
      </c>
      <c r="R6" s="19"/>
      <c r="S6" s="6" t="s">
        <v>90</v>
      </c>
      <c r="T6" s="19"/>
      <c r="U6" s="19" t="s">
        <v>101</v>
      </c>
      <c r="V6" s="6" t="s">
        <v>102</v>
      </c>
    </row>
    <row r="7" customFormat="false" ht="34.5" hidden="false" customHeight="true" outlineLevel="0" collapsed="false">
      <c r="A7" s="6" t="s">
        <v>103</v>
      </c>
      <c r="B7" s="19" t="s">
        <v>104</v>
      </c>
      <c r="C7" s="19" t="s">
        <v>105</v>
      </c>
      <c r="D7" s="19" t="s">
        <v>106</v>
      </c>
      <c r="E7" s="19" t="s">
        <v>107</v>
      </c>
      <c r="F7" s="19" t="s">
        <v>108</v>
      </c>
      <c r="G7" s="19" t="s">
        <v>84</v>
      </c>
      <c r="H7" s="6" t="s">
        <v>109</v>
      </c>
      <c r="I7" s="19" t="s">
        <v>110</v>
      </c>
      <c r="J7" s="6" t="s">
        <v>87</v>
      </c>
      <c r="K7" s="6" t="s">
        <v>111</v>
      </c>
      <c r="L7" s="19" t="s">
        <v>112</v>
      </c>
      <c r="M7" s="6" t="s">
        <v>38</v>
      </c>
      <c r="N7" s="6" t="s">
        <v>38</v>
      </c>
      <c r="O7" s="6" t="s">
        <v>38</v>
      </c>
      <c r="P7" s="6" t="s">
        <v>38</v>
      </c>
      <c r="Q7" s="6" t="s">
        <v>38</v>
      </c>
      <c r="R7" s="19"/>
      <c r="S7" s="6" t="s">
        <v>90</v>
      </c>
      <c r="T7" s="19"/>
      <c r="U7" s="19" t="s">
        <v>113</v>
      </c>
      <c r="V7" s="1" t="s">
        <v>114</v>
      </c>
    </row>
    <row r="8" customFormat="false" ht="34.5" hidden="false" customHeight="true" outlineLevel="0" collapsed="false">
      <c r="A8" s="6" t="s">
        <v>115</v>
      </c>
      <c r="B8" s="19" t="s">
        <v>116</v>
      </c>
      <c r="C8" s="19" t="s">
        <v>117</v>
      </c>
      <c r="D8" s="19" t="s">
        <v>118</v>
      </c>
      <c r="E8" s="19" t="s">
        <v>119</v>
      </c>
      <c r="F8" s="19" t="s">
        <v>120</v>
      </c>
      <c r="G8" s="19" t="s">
        <v>121</v>
      </c>
      <c r="H8" s="6" t="s">
        <v>122</v>
      </c>
      <c r="I8" s="19" t="s">
        <v>123</v>
      </c>
      <c r="J8" s="6" t="s">
        <v>87</v>
      </c>
      <c r="K8" s="6" t="s">
        <v>124</v>
      </c>
      <c r="L8" s="19" t="s">
        <v>125</v>
      </c>
      <c r="M8" s="6" t="s">
        <v>38</v>
      </c>
      <c r="N8" s="6" t="s">
        <v>38</v>
      </c>
      <c r="O8" s="6" t="s">
        <v>38</v>
      </c>
      <c r="P8" s="6" t="s">
        <v>38</v>
      </c>
      <c r="Q8" s="6" t="s">
        <v>38</v>
      </c>
      <c r="R8" s="19"/>
      <c r="S8" s="6" t="s">
        <v>90</v>
      </c>
      <c r="T8" s="19"/>
      <c r="U8" s="19" t="s">
        <v>126</v>
      </c>
      <c r="V8" s="1" t="s">
        <v>127</v>
      </c>
    </row>
    <row r="9" customFormat="false" ht="15" hidden="false" customHeight="true" outlineLevel="0" collapsed="false">
      <c r="A9" s="6" t="s">
        <v>128</v>
      </c>
      <c r="B9" s="19" t="s">
        <v>129</v>
      </c>
      <c r="C9" s="19" t="s">
        <v>130</v>
      </c>
      <c r="D9" s="19" t="s">
        <v>131</v>
      </c>
      <c r="E9" s="19" t="s">
        <v>82</v>
      </c>
      <c r="F9" s="19" t="s">
        <v>132</v>
      </c>
      <c r="G9" s="19" t="s">
        <v>84</v>
      </c>
      <c r="H9" s="6" t="s">
        <v>133</v>
      </c>
      <c r="I9" s="19" t="s">
        <v>134</v>
      </c>
      <c r="J9" s="6" t="s">
        <v>87</v>
      </c>
      <c r="K9" s="6" t="s">
        <v>124</v>
      </c>
      <c r="L9" s="19" t="s">
        <v>125</v>
      </c>
      <c r="M9" s="6" t="s">
        <v>38</v>
      </c>
      <c r="N9" s="6" t="s">
        <v>38</v>
      </c>
      <c r="O9" s="6" t="s">
        <v>38</v>
      </c>
      <c r="P9" s="6" t="s">
        <v>38</v>
      </c>
      <c r="Q9" s="6" t="s">
        <v>38</v>
      </c>
      <c r="R9" s="19"/>
      <c r="S9" s="6" t="s">
        <v>90</v>
      </c>
      <c r="T9" s="19"/>
      <c r="U9" s="19" t="s">
        <v>135</v>
      </c>
      <c r="V9" s="1" t="s">
        <v>136</v>
      </c>
    </row>
    <row r="10" customFormat="false" ht="15" hidden="false" customHeight="true" outlineLevel="0" collapsed="false">
      <c r="A10" s="6" t="s">
        <v>137</v>
      </c>
      <c r="B10" s="19" t="s">
        <v>138</v>
      </c>
      <c r="C10" s="19" t="s">
        <v>139</v>
      </c>
      <c r="D10" s="19" t="s">
        <v>140</v>
      </c>
      <c r="E10" s="19" t="s">
        <v>141</v>
      </c>
      <c r="F10" s="19" t="s">
        <v>142</v>
      </c>
      <c r="G10" s="19" t="s">
        <v>143</v>
      </c>
      <c r="H10" s="6" t="s">
        <v>144</v>
      </c>
      <c r="I10" s="19" t="s">
        <v>145</v>
      </c>
      <c r="J10" s="6" t="s">
        <v>87</v>
      </c>
      <c r="K10" s="6" t="s">
        <v>124</v>
      </c>
      <c r="L10" s="19" t="s">
        <v>125</v>
      </c>
      <c r="M10" s="6" t="s">
        <v>38</v>
      </c>
      <c r="N10" s="6" t="s">
        <v>38</v>
      </c>
      <c r="O10" s="6" t="s">
        <v>38</v>
      </c>
      <c r="P10" s="6" t="s">
        <v>38</v>
      </c>
      <c r="Q10" s="6" t="s">
        <v>38</v>
      </c>
      <c r="R10" s="19"/>
      <c r="S10" s="6" t="s">
        <v>90</v>
      </c>
      <c r="T10" s="19"/>
      <c r="U10" s="19" t="s">
        <v>146</v>
      </c>
      <c r="V10" s="1" t="s">
        <v>147</v>
      </c>
    </row>
    <row r="11" customFormat="false" ht="23.25" hidden="false" customHeight="true" outlineLevel="0" collapsed="false">
      <c r="A11" s="6" t="s">
        <v>148</v>
      </c>
      <c r="B11" s="19" t="s">
        <v>149</v>
      </c>
      <c r="C11" s="19" t="s">
        <v>150</v>
      </c>
      <c r="D11" s="19" t="s">
        <v>151</v>
      </c>
      <c r="E11" s="19" t="s">
        <v>82</v>
      </c>
      <c r="F11" s="19" t="s">
        <v>152</v>
      </c>
      <c r="G11" s="19" t="s">
        <v>121</v>
      </c>
      <c r="H11" s="6" t="s">
        <v>153</v>
      </c>
      <c r="I11" s="19" t="s">
        <v>154</v>
      </c>
      <c r="J11" s="6" t="s">
        <v>87</v>
      </c>
      <c r="K11" s="6" t="s">
        <v>124</v>
      </c>
      <c r="L11" s="19" t="s">
        <v>125</v>
      </c>
      <c r="M11" s="6" t="s">
        <v>38</v>
      </c>
      <c r="N11" s="6" t="s">
        <v>38</v>
      </c>
      <c r="O11" s="6" t="s">
        <v>38</v>
      </c>
      <c r="P11" s="6" t="s">
        <v>38</v>
      </c>
      <c r="Q11" s="6" t="s">
        <v>38</v>
      </c>
      <c r="R11" s="19"/>
      <c r="S11" s="6" t="s">
        <v>90</v>
      </c>
      <c r="T11" s="19"/>
      <c r="U11" s="19" t="s">
        <v>155</v>
      </c>
      <c r="V11" s="1" t="s">
        <v>156</v>
      </c>
    </row>
    <row r="12" customFormat="false" ht="15" hidden="false" customHeight="true" outlineLevel="0" collapsed="false">
      <c r="A12" s="6" t="s">
        <v>157</v>
      </c>
      <c r="B12" s="19" t="s">
        <v>158</v>
      </c>
      <c r="C12" s="19" t="s">
        <v>159</v>
      </c>
      <c r="D12" s="19" t="s">
        <v>160</v>
      </c>
      <c r="E12" s="19" t="s">
        <v>161</v>
      </c>
      <c r="F12" s="19" t="s">
        <v>162</v>
      </c>
      <c r="G12" s="19" t="s">
        <v>143</v>
      </c>
      <c r="H12" s="6" t="s">
        <v>163</v>
      </c>
      <c r="I12" s="19" t="s">
        <v>164</v>
      </c>
      <c r="J12" s="6" t="s">
        <v>87</v>
      </c>
      <c r="K12" s="6" t="s">
        <v>124</v>
      </c>
      <c r="L12" s="19" t="s">
        <v>125</v>
      </c>
      <c r="M12" s="6" t="s">
        <v>38</v>
      </c>
      <c r="N12" s="6" t="s">
        <v>38</v>
      </c>
      <c r="O12" s="6" t="s">
        <v>38</v>
      </c>
      <c r="P12" s="6" t="s">
        <v>38</v>
      </c>
      <c r="Q12" s="6" t="s">
        <v>38</v>
      </c>
      <c r="R12" s="19"/>
      <c r="S12" s="6" t="s">
        <v>90</v>
      </c>
      <c r="T12" s="19"/>
      <c r="U12" s="19" t="s">
        <v>165</v>
      </c>
      <c r="V12" s="1" t="s">
        <v>166</v>
      </c>
    </row>
    <row r="13" customFormat="false" ht="15" hidden="false" customHeight="true" outlineLevel="0" collapsed="false">
      <c r="A13" s="6" t="s">
        <v>167</v>
      </c>
      <c r="B13" s="19" t="s">
        <v>168</v>
      </c>
      <c r="C13" s="19" t="s">
        <v>169</v>
      </c>
      <c r="D13" s="19" t="s">
        <v>170</v>
      </c>
      <c r="E13" s="19" t="s">
        <v>171</v>
      </c>
      <c r="F13" s="19" t="s">
        <v>172</v>
      </c>
      <c r="G13" s="19" t="s">
        <v>84</v>
      </c>
      <c r="H13" s="6" t="s">
        <v>173</v>
      </c>
      <c r="I13" s="19" t="s">
        <v>174</v>
      </c>
      <c r="J13" s="6" t="s">
        <v>87</v>
      </c>
      <c r="K13" s="6" t="s">
        <v>124</v>
      </c>
      <c r="L13" s="19" t="s">
        <v>125</v>
      </c>
      <c r="M13" s="6" t="s">
        <v>38</v>
      </c>
      <c r="N13" s="6" t="s">
        <v>38</v>
      </c>
      <c r="O13" s="6" t="s">
        <v>38</v>
      </c>
      <c r="P13" s="6" t="s">
        <v>38</v>
      </c>
      <c r="Q13" s="6" t="s">
        <v>38</v>
      </c>
      <c r="R13" s="19"/>
      <c r="S13" s="6" t="s">
        <v>90</v>
      </c>
      <c r="T13" s="19"/>
      <c r="U13" s="19" t="s">
        <v>175</v>
      </c>
      <c r="V13" s="1" t="s">
        <v>176</v>
      </c>
    </row>
    <row r="14" customFormat="false" ht="15" hidden="false" customHeight="true" outlineLevel="0" collapsed="false">
      <c r="A14" s="6" t="s">
        <v>177</v>
      </c>
      <c r="B14" s="19" t="s">
        <v>178</v>
      </c>
      <c r="C14" s="19" t="s">
        <v>179</v>
      </c>
      <c r="D14" s="19" t="s">
        <v>180</v>
      </c>
      <c r="E14" s="19" t="s">
        <v>181</v>
      </c>
      <c r="F14" s="19" t="s">
        <v>182</v>
      </c>
      <c r="G14" s="19" t="s">
        <v>84</v>
      </c>
      <c r="H14" s="6" t="s">
        <v>183</v>
      </c>
      <c r="I14" s="19" t="s">
        <v>184</v>
      </c>
      <c r="J14" s="6" t="s">
        <v>87</v>
      </c>
      <c r="K14" s="6" t="s">
        <v>124</v>
      </c>
      <c r="L14" s="19" t="s">
        <v>125</v>
      </c>
      <c r="M14" s="6" t="s">
        <v>38</v>
      </c>
      <c r="N14" s="6" t="s">
        <v>38</v>
      </c>
      <c r="O14" s="6" t="s">
        <v>38</v>
      </c>
      <c r="P14" s="6" t="s">
        <v>38</v>
      </c>
      <c r="Q14" s="6" t="s">
        <v>38</v>
      </c>
      <c r="R14" s="19"/>
      <c r="S14" s="6" t="s">
        <v>90</v>
      </c>
      <c r="T14" s="19"/>
      <c r="U14" s="19" t="s">
        <v>185</v>
      </c>
      <c r="V14" s="1" t="s">
        <v>186</v>
      </c>
    </row>
    <row r="15" customFormat="false" ht="15" hidden="false" customHeight="true" outlineLevel="0" collapsed="false">
      <c r="A15" s="6" t="s">
        <v>187</v>
      </c>
      <c r="B15" s="19" t="s">
        <v>188</v>
      </c>
      <c r="C15" s="19" t="s">
        <v>189</v>
      </c>
      <c r="D15" s="19" t="s">
        <v>190</v>
      </c>
      <c r="E15" s="19" t="s">
        <v>141</v>
      </c>
      <c r="F15" s="19" t="s">
        <v>191</v>
      </c>
      <c r="G15" s="19" t="s">
        <v>84</v>
      </c>
      <c r="H15" s="6" t="s">
        <v>192</v>
      </c>
      <c r="I15" s="19" t="s">
        <v>193</v>
      </c>
      <c r="J15" s="6" t="s">
        <v>87</v>
      </c>
      <c r="K15" s="6" t="s">
        <v>124</v>
      </c>
      <c r="L15" s="19" t="s">
        <v>125</v>
      </c>
      <c r="M15" s="6" t="s">
        <v>38</v>
      </c>
      <c r="N15" s="6" t="s">
        <v>38</v>
      </c>
      <c r="O15" s="6" t="s">
        <v>38</v>
      </c>
      <c r="P15" s="6" t="s">
        <v>38</v>
      </c>
      <c r="Q15" s="6" t="s">
        <v>38</v>
      </c>
      <c r="R15" s="19"/>
      <c r="S15" s="6" t="s">
        <v>90</v>
      </c>
      <c r="T15" s="19"/>
      <c r="U15" s="19" t="s">
        <v>194</v>
      </c>
      <c r="V15" s="1" t="s">
        <v>195</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5" type="list">
      <formula1>"Not started,In progress,Review,Approved,Blocked,N/A"</formula1>
      <formula2>0</formula2>
    </dataValidation>
    <dataValidation allowBlank="true" errorStyle="stop" operator="between" showDropDown="false" showErrorMessage="false" showInputMessage="false" sqref="N5:N15" type="list">
      <formula1>"Not started,In progress,Review,Approved,Blocked,N/A"</formula1>
      <formula2>0</formula2>
    </dataValidation>
    <dataValidation allowBlank="true" errorStyle="stop" operator="between" showDropDown="false" showErrorMessage="false" showInputMessage="false" sqref="O5:O15" type="list">
      <formula1>"Not started,In progress,Review,Approved,Blocked,N/A"</formula1>
      <formula2>0</formula2>
    </dataValidation>
    <dataValidation allowBlank="true" errorStyle="stop" operator="between" showDropDown="false" showErrorMessage="false" showInputMessage="false" sqref="P5:P15" type="list">
      <formula1>"Not started,In progress,Review,Approved,Blocked,N/A"</formula1>
      <formula2>0</formula2>
    </dataValidation>
    <dataValidation allowBlank="true" errorStyle="stop" operator="between" showDropDown="false" showErrorMessage="false" showInputMessage="false" sqref="Q5:Q1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4" min="4" style="1" width="13"/>
    <col collapsed="false" customWidth="true" hidden="false" outlineLevel="0" max="5" min="5" style="1" width="7"/>
    <col collapsed="false" customWidth="true" hidden="false" outlineLevel="0" max="6" min="6" style="1" width="32"/>
    <col collapsed="false" customWidth="true" hidden="false" outlineLevel="0" max="7" min="7" style="1" width="24"/>
    <col collapsed="false" customWidth="true" hidden="false" outlineLevel="0" max="8" min="8" style="1" width="34"/>
    <col collapsed="false" customWidth="true" hidden="false" outlineLevel="0" max="9" min="9" style="1" width="15"/>
    <col collapsed="false" customWidth="true" hidden="false" outlineLevel="0" max="10" min="10" style="1" width="40"/>
    <col collapsed="false" customWidth="true" hidden="false" outlineLevel="0" max="11" min="11" style="1" width="28"/>
    <col collapsed="false" customWidth="true" hidden="false" outlineLevel="0" max="12" min="12" style="1" width="22"/>
    <col collapsed="false" customWidth="true" hidden="false" outlineLevel="0" max="13" min="13" style="1" width="14"/>
    <col collapsed="false" customWidth="true" hidden="false" outlineLevel="0" max="14" min="14" style="1" width="9"/>
    <col collapsed="false" customWidth="true" hidden="false" outlineLevel="0" max="18" min="15" style="1" width="12"/>
    <col collapsed="false" customWidth="true" hidden="false" outlineLevel="0" max="19" min="19" style="1" width="13"/>
    <col collapsed="false" customWidth="true" hidden="false" outlineLevel="0" max="21" min="20" style="1" width="12"/>
    <col collapsed="false" customWidth="true" hidden="false" outlineLevel="0" max="22" min="22" style="1" width="26"/>
  </cols>
  <sheetData>
    <row r="1" customFormat="false" ht="25.5" hidden="false" customHeight="true" outlineLevel="0" collapsed="false">
      <c r="A1" s="2" t="s">
        <v>196</v>
      </c>
    </row>
    <row r="2" customFormat="false" ht="15" hidden="false" customHeight="true" outlineLevel="0" collapsed="false">
      <c r="A2" s="3" t="s">
        <v>197</v>
      </c>
    </row>
    <row r="4" customFormat="false" ht="31.5" hidden="false" customHeight="true" outlineLevel="0" collapsed="false">
      <c r="A4" s="5" t="s">
        <v>56</v>
      </c>
      <c r="B4" s="5" t="s">
        <v>198</v>
      </c>
      <c r="C4" s="5" t="s">
        <v>199</v>
      </c>
      <c r="D4" s="5" t="s">
        <v>62</v>
      </c>
      <c r="E4" s="5" t="s">
        <v>200</v>
      </c>
      <c r="F4" s="5" t="s">
        <v>201</v>
      </c>
      <c r="G4" s="5" t="s">
        <v>202</v>
      </c>
      <c r="H4" s="5" t="s">
        <v>203</v>
      </c>
      <c r="I4" s="5" t="s">
        <v>204</v>
      </c>
      <c r="J4" s="5" t="s">
        <v>205</v>
      </c>
      <c r="K4" s="5" t="s">
        <v>206</v>
      </c>
      <c r="L4" s="5" t="s">
        <v>207</v>
      </c>
      <c r="M4" s="5" t="s">
        <v>65</v>
      </c>
      <c r="N4" s="5" t="s">
        <v>66</v>
      </c>
      <c r="O4" s="5" t="s">
        <v>68</v>
      </c>
      <c r="P4" s="5" t="s">
        <v>69</v>
      </c>
      <c r="Q4" s="5" t="s">
        <v>70</v>
      </c>
      <c r="R4" s="5" t="s">
        <v>71</v>
      </c>
      <c r="S4" s="5" t="s">
        <v>72</v>
      </c>
      <c r="T4" s="5" t="s">
        <v>73</v>
      </c>
      <c r="U4" s="5" t="s">
        <v>75</v>
      </c>
      <c r="V4" s="5" t="s">
        <v>76</v>
      </c>
    </row>
    <row r="5" customFormat="false" ht="45.75" hidden="false" customHeight="true" outlineLevel="0" collapsed="false">
      <c r="A5" s="6" t="s">
        <v>208</v>
      </c>
      <c r="B5" s="6" t="s">
        <v>209</v>
      </c>
      <c r="C5" s="6" t="s">
        <v>210</v>
      </c>
      <c r="D5" s="6" t="s">
        <v>84</v>
      </c>
      <c r="E5" s="6" t="s">
        <v>211</v>
      </c>
      <c r="F5" s="6" t="s">
        <v>212</v>
      </c>
      <c r="G5" s="6" t="s">
        <v>213</v>
      </c>
      <c r="H5" s="6" t="s">
        <v>214</v>
      </c>
      <c r="I5" s="6" t="s">
        <v>215</v>
      </c>
      <c r="J5" s="6" t="s">
        <v>216</v>
      </c>
      <c r="K5" s="19"/>
      <c r="L5" s="6" t="s">
        <v>217</v>
      </c>
      <c r="M5" s="6" t="s">
        <v>218</v>
      </c>
      <c r="N5" s="6" t="s">
        <v>124</v>
      </c>
      <c r="O5" s="6" t="s">
        <v>38</v>
      </c>
      <c r="P5" s="6" t="s">
        <v>38</v>
      </c>
      <c r="Q5" s="6" t="s">
        <v>38</v>
      </c>
      <c r="R5" s="6" t="s">
        <v>38</v>
      </c>
      <c r="S5" s="6" t="s">
        <v>38</v>
      </c>
      <c r="T5" s="19"/>
      <c r="U5" s="19"/>
      <c r="V5" s="19"/>
    </row>
    <row r="6" customFormat="false" ht="34.5" hidden="false" customHeight="true" outlineLevel="0" collapsed="false">
      <c r="A6" s="6" t="s">
        <v>219</v>
      </c>
      <c r="B6" s="6" t="s">
        <v>220</v>
      </c>
      <c r="C6" s="6" t="s">
        <v>210</v>
      </c>
      <c r="D6" s="6" t="s">
        <v>84</v>
      </c>
      <c r="E6" s="6" t="s">
        <v>211</v>
      </c>
      <c r="F6" s="6" t="s">
        <v>212</v>
      </c>
      <c r="G6" s="6" t="s">
        <v>213</v>
      </c>
      <c r="H6" s="6" t="s">
        <v>214</v>
      </c>
      <c r="I6" s="6" t="s">
        <v>215</v>
      </c>
      <c r="J6" s="6" t="s">
        <v>221</v>
      </c>
      <c r="K6" s="19"/>
      <c r="L6" s="6" t="s">
        <v>217</v>
      </c>
      <c r="M6" s="6" t="s">
        <v>218</v>
      </c>
      <c r="N6" s="6" t="s">
        <v>124</v>
      </c>
      <c r="O6" s="6" t="s">
        <v>38</v>
      </c>
      <c r="P6" s="6" t="s">
        <v>38</v>
      </c>
      <c r="Q6" s="6" t="s">
        <v>38</v>
      </c>
      <c r="R6" s="6" t="s">
        <v>38</v>
      </c>
      <c r="S6" s="6" t="s">
        <v>38</v>
      </c>
      <c r="T6" s="19"/>
      <c r="U6" s="19"/>
      <c r="V6" s="19"/>
    </row>
    <row r="7" customFormat="false" ht="45.75" hidden="false" customHeight="true" outlineLevel="0" collapsed="false">
      <c r="A7" s="6" t="s">
        <v>222</v>
      </c>
      <c r="B7" s="6" t="s">
        <v>209</v>
      </c>
      <c r="C7" s="6" t="s">
        <v>223</v>
      </c>
      <c r="D7" s="6" t="s">
        <v>143</v>
      </c>
      <c r="E7" s="6" t="s">
        <v>224</v>
      </c>
      <c r="F7" s="6" t="s">
        <v>225</v>
      </c>
      <c r="G7" s="6" t="s">
        <v>226</v>
      </c>
      <c r="H7" s="6" t="s">
        <v>227</v>
      </c>
      <c r="I7" s="6" t="s">
        <v>215</v>
      </c>
      <c r="J7" s="6" t="s">
        <v>216</v>
      </c>
      <c r="K7" s="19"/>
      <c r="L7" s="6" t="s">
        <v>228</v>
      </c>
      <c r="M7" s="6" t="s">
        <v>218</v>
      </c>
      <c r="N7" s="6" t="s">
        <v>124</v>
      </c>
      <c r="O7" s="6" t="s">
        <v>38</v>
      </c>
      <c r="P7" s="6" t="s">
        <v>38</v>
      </c>
      <c r="Q7" s="6" t="s">
        <v>38</v>
      </c>
      <c r="R7" s="6" t="s">
        <v>38</v>
      </c>
      <c r="S7" s="6" t="s">
        <v>38</v>
      </c>
      <c r="T7" s="19"/>
      <c r="U7" s="19"/>
      <c r="V7" s="19"/>
    </row>
    <row r="8" customFormat="false" ht="34.5" hidden="false" customHeight="true" outlineLevel="0" collapsed="false">
      <c r="A8" s="6" t="s">
        <v>229</v>
      </c>
      <c r="B8" s="6" t="s">
        <v>220</v>
      </c>
      <c r="C8" s="6" t="s">
        <v>223</v>
      </c>
      <c r="D8" s="6" t="s">
        <v>143</v>
      </c>
      <c r="E8" s="6" t="s">
        <v>224</v>
      </c>
      <c r="F8" s="6" t="s">
        <v>225</v>
      </c>
      <c r="G8" s="6" t="s">
        <v>226</v>
      </c>
      <c r="H8" s="6" t="s">
        <v>227</v>
      </c>
      <c r="I8" s="6" t="s">
        <v>215</v>
      </c>
      <c r="J8" s="6" t="s">
        <v>221</v>
      </c>
      <c r="K8" s="19"/>
      <c r="L8" s="6" t="s">
        <v>228</v>
      </c>
      <c r="M8" s="6" t="s">
        <v>218</v>
      </c>
      <c r="N8" s="6" t="s">
        <v>124</v>
      </c>
      <c r="O8" s="6" t="s">
        <v>38</v>
      </c>
      <c r="P8" s="6" t="s">
        <v>38</v>
      </c>
      <c r="Q8" s="6" t="s">
        <v>38</v>
      </c>
      <c r="R8" s="6" t="s">
        <v>38</v>
      </c>
      <c r="S8" s="6" t="s">
        <v>38</v>
      </c>
      <c r="T8" s="19"/>
      <c r="U8" s="19"/>
      <c r="V8" s="19"/>
    </row>
    <row r="9" customFormat="false" ht="45.75" hidden="false" customHeight="true" outlineLevel="0" collapsed="false">
      <c r="A9" s="6" t="s">
        <v>230</v>
      </c>
      <c r="B9" s="6" t="s">
        <v>209</v>
      </c>
      <c r="C9" s="6" t="s">
        <v>231</v>
      </c>
      <c r="D9" s="6" t="s">
        <v>232</v>
      </c>
      <c r="E9" s="6" t="s">
        <v>233</v>
      </c>
      <c r="F9" s="6" t="s">
        <v>234</v>
      </c>
      <c r="G9" s="6" t="s">
        <v>235</v>
      </c>
      <c r="H9" s="6" t="s">
        <v>236</v>
      </c>
      <c r="I9" s="6" t="s">
        <v>215</v>
      </c>
      <c r="J9" s="6" t="s">
        <v>216</v>
      </c>
      <c r="K9" s="19"/>
      <c r="L9" s="6" t="s">
        <v>237</v>
      </c>
      <c r="M9" s="6" t="s">
        <v>218</v>
      </c>
      <c r="N9" s="6" t="s">
        <v>124</v>
      </c>
      <c r="O9" s="6" t="s">
        <v>38</v>
      </c>
      <c r="P9" s="6" t="s">
        <v>38</v>
      </c>
      <c r="Q9" s="6" t="s">
        <v>38</v>
      </c>
      <c r="R9" s="6" t="s">
        <v>38</v>
      </c>
      <c r="S9" s="6" t="s">
        <v>38</v>
      </c>
      <c r="T9" s="19"/>
      <c r="U9" s="19"/>
      <c r="V9" s="19"/>
    </row>
    <row r="10" customFormat="false" ht="34.5" hidden="false" customHeight="true" outlineLevel="0" collapsed="false">
      <c r="A10" s="6" t="s">
        <v>238</v>
      </c>
      <c r="B10" s="6" t="s">
        <v>220</v>
      </c>
      <c r="C10" s="6" t="s">
        <v>231</v>
      </c>
      <c r="D10" s="6" t="s">
        <v>232</v>
      </c>
      <c r="E10" s="6" t="s">
        <v>233</v>
      </c>
      <c r="F10" s="6" t="s">
        <v>234</v>
      </c>
      <c r="G10" s="6" t="s">
        <v>235</v>
      </c>
      <c r="H10" s="6" t="s">
        <v>236</v>
      </c>
      <c r="I10" s="6" t="s">
        <v>215</v>
      </c>
      <c r="J10" s="6" t="s">
        <v>221</v>
      </c>
      <c r="K10" s="19"/>
      <c r="L10" s="6" t="s">
        <v>237</v>
      </c>
      <c r="M10" s="6" t="s">
        <v>218</v>
      </c>
      <c r="N10" s="6" t="s">
        <v>124</v>
      </c>
      <c r="O10" s="6" t="s">
        <v>38</v>
      </c>
      <c r="P10" s="6" t="s">
        <v>38</v>
      </c>
      <c r="Q10" s="6" t="s">
        <v>38</v>
      </c>
      <c r="R10" s="6" t="s">
        <v>38</v>
      </c>
      <c r="S10" s="6" t="s">
        <v>38</v>
      </c>
      <c r="T10" s="19"/>
      <c r="U10" s="19"/>
      <c r="V10" s="19"/>
    </row>
    <row r="11" customFormat="false" ht="45.75" hidden="false" customHeight="true" outlineLevel="0" collapsed="false">
      <c r="A11" s="6" t="s">
        <v>239</v>
      </c>
      <c r="B11" s="6" t="s">
        <v>209</v>
      </c>
      <c r="C11" s="6" t="s">
        <v>240</v>
      </c>
      <c r="D11" s="6" t="s">
        <v>143</v>
      </c>
      <c r="E11" s="6" t="s">
        <v>241</v>
      </c>
      <c r="F11" s="6" t="s">
        <v>242</v>
      </c>
      <c r="G11" s="6" t="s">
        <v>243</v>
      </c>
      <c r="H11" s="6" t="s">
        <v>244</v>
      </c>
      <c r="I11" s="6" t="s">
        <v>245</v>
      </c>
      <c r="J11" s="6" t="s">
        <v>216</v>
      </c>
      <c r="K11" s="19"/>
      <c r="L11" s="6" t="s">
        <v>246</v>
      </c>
      <c r="M11" s="6" t="s">
        <v>218</v>
      </c>
      <c r="N11" s="6" t="s">
        <v>124</v>
      </c>
      <c r="O11" s="6" t="s">
        <v>38</v>
      </c>
      <c r="P11" s="6" t="s">
        <v>38</v>
      </c>
      <c r="Q11" s="6" t="s">
        <v>38</v>
      </c>
      <c r="R11" s="6" t="s">
        <v>38</v>
      </c>
      <c r="S11" s="6" t="s">
        <v>38</v>
      </c>
      <c r="T11" s="19"/>
      <c r="U11" s="19"/>
      <c r="V11" s="19"/>
    </row>
    <row r="12" customFormat="false" ht="34.5" hidden="false" customHeight="true" outlineLevel="0" collapsed="false">
      <c r="A12" s="6" t="s">
        <v>247</v>
      </c>
      <c r="B12" s="6" t="s">
        <v>220</v>
      </c>
      <c r="C12" s="6" t="s">
        <v>240</v>
      </c>
      <c r="D12" s="6" t="s">
        <v>143</v>
      </c>
      <c r="E12" s="6" t="s">
        <v>241</v>
      </c>
      <c r="F12" s="6" t="s">
        <v>242</v>
      </c>
      <c r="G12" s="6" t="s">
        <v>243</v>
      </c>
      <c r="H12" s="6" t="s">
        <v>244</v>
      </c>
      <c r="I12" s="6" t="s">
        <v>245</v>
      </c>
      <c r="J12" s="6" t="s">
        <v>221</v>
      </c>
      <c r="K12" s="19"/>
      <c r="L12" s="6" t="s">
        <v>246</v>
      </c>
      <c r="M12" s="6" t="s">
        <v>218</v>
      </c>
      <c r="N12" s="6" t="s">
        <v>124</v>
      </c>
      <c r="O12" s="6" t="s">
        <v>38</v>
      </c>
      <c r="P12" s="6" t="s">
        <v>38</v>
      </c>
      <c r="Q12" s="6" t="s">
        <v>38</v>
      </c>
      <c r="R12" s="6" t="s">
        <v>38</v>
      </c>
      <c r="S12" s="6" t="s">
        <v>38</v>
      </c>
      <c r="T12" s="19"/>
      <c r="U12" s="19"/>
      <c r="V12" s="19"/>
    </row>
    <row r="13" customFormat="false" ht="45.75" hidden="false" customHeight="true" outlineLevel="0" collapsed="false">
      <c r="A13" s="6" t="s">
        <v>248</v>
      </c>
      <c r="B13" s="6" t="s">
        <v>209</v>
      </c>
      <c r="C13" s="6" t="s">
        <v>249</v>
      </c>
      <c r="D13" s="6" t="s">
        <v>121</v>
      </c>
      <c r="E13" s="6" t="s">
        <v>250</v>
      </c>
      <c r="F13" s="6" t="s">
        <v>251</v>
      </c>
      <c r="G13" s="6" t="s">
        <v>252</v>
      </c>
      <c r="H13" s="6" t="s">
        <v>253</v>
      </c>
      <c r="I13" s="6" t="s">
        <v>245</v>
      </c>
      <c r="J13" s="6" t="s">
        <v>216</v>
      </c>
      <c r="K13" s="19"/>
      <c r="L13" s="6" t="s">
        <v>254</v>
      </c>
      <c r="M13" s="6" t="s">
        <v>218</v>
      </c>
      <c r="N13" s="6" t="s">
        <v>124</v>
      </c>
      <c r="O13" s="6" t="s">
        <v>38</v>
      </c>
      <c r="P13" s="6" t="s">
        <v>38</v>
      </c>
      <c r="Q13" s="6" t="s">
        <v>38</v>
      </c>
      <c r="R13" s="6" t="s">
        <v>38</v>
      </c>
      <c r="S13" s="6" t="s">
        <v>38</v>
      </c>
      <c r="T13" s="19"/>
      <c r="U13" s="19"/>
      <c r="V13" s="19"/>
    </row>
    <row r="14" customFormat="false" ht="34.5" hidden="false" customHeight="true" outlineLevel="0" collapsed="false">
      <c r="A14" s="6" t="s">
        <v>255</v>
      </c>
      <c r="B14" s="6" t="s">
        <v>220</v>
      </c>
      <c r="C14" s="6" t="s">
        <v>249</v>
      </c>
      <c r="D14" s="6" t="s">
        <v>121</v>
      </c>
      <c r="E14" s="6" t="s">
        <v>250</v>
      </c>
      <c r="F14" s="6" t="s">
        <v>251</v>
      </c>
      <c r="G14" s="6" t="s">
        <v>252</v>
      </c>
      <c r="H14" s="6" t="s">
        <v>253</v>
      </c>
      <c r="I14" s="6" t="s">
        <v>245</v>
      </c>
      <c r="J14" s="6" t="s">
        <v>221</v>
      </c>
      <c r="K14" s="19"/>
      <c r="L14" s="6" t="s">
        <v>254</v>
      </c>
      <c r="M14" s="6" t="s">
        <v>218</v>
      </c>
      <c r="N14" s="6" t="s">
        <v>124</v>
      </c>
      <c r="O14" s="6" t="s">
        <v>38</v>
      </c>
      <c r="P14" s="6" t="s">
        <v>38</v>
      </c>
      <c r="Q14" s="6" t="s">
        <v>38</v>
      </c>
      <c r="R14" s="6" t="s">
        <v>38</v>
      </c>
      <c r="S14" s="6" t="s">
        <v>38</v>
      </c>
      <c r="T14" s="19"/>
      <c r="U14" s="19"/>
      <c r="V14" s="19"/>
    </row>
    <row r="15" customFormat="false" ht="45.75" hidden="false" customHeight="true" outlineLevel="0" collapsed="false">
      <c r="A15" s="6" t="s">
        <v>256</v>
      </c>
      <c r="B15" s="6" t="s">
        <v>209</v>
      </c>
      <c r="C15" s="6" t="s">
        <v>257</v>
      </c>
      <c r="D15" s="6" t="s">
        <v>258</v>
      </c>
      <c r="E15" s="6" t="s">
        <v>259</v>
      </c>
      <c r="F15" s="6" t="s">
        <v>260</v>
      </c>
      <c r="G15" s="6" t="s">
        <v>261</v>
      </c>
      <c r="H15" s="6" t="s">
        <v>262</v>
      </c>
      <c r="I15" s="6" t="s">
        <v>245</v>
      </c>
      <c r="J15" s="6" t="s">
        <v>216</v>
      </c>
      <c r="K15" s="19"/>
      <c r="L15" s="6" t="s">
        <v>263</v>
      </c>
      <c r="M15" s="6" t="s">
        <v>218</v>
      </c>
      <c r="N15" s="6" t="s">
        <v>124</v>
      </c>
      <c r="O15" s="6" t="s">
        <v>38</v>
      </c>
      <c r="P15" s="6" t="s">
        <v>38</v>
      </c>
      <c r="Q15" s="6" t="s">
        <v>38</v>
      </c>
      <c r="R15" s="6" t="s">
        <v>38</v>
      </c>
      <c r="S15" s="6" t="s">
        <v>38</v>
      </c>
      <c r="T15" s="19"/>
      <c r="U15" s="19"/>
      <c r="V15" s="19"/>
    </row>
    <row r="16" customFormat="false" ht="34.5" hidden="false" customHeight="true" outlineLevel="0" collapsed="false">
      <c r="A16" s="6" t="s">
        <v>264</v>
      </c>
      <c r="B16" s="6" t="s">
        <v>220</v>
      </c>
      <c r="C16" s="6" t="s">
        <v>257</v>
      </c>
      <c r="D16" s="6" t="s">
        <v>258</v>
      </c>
      <c r="E16" s="6" t="s">
        <v>259</v>
      </c>
      <c r="F16" s="6" t="s">
        <v>260</v>
      </c>
      <c r="G16" s="6" t="s">
        <v>261</v>
      </c>
      <c r="H16" s="6" t="s">
        <v>262</v>
      </c>
      <c r="I16" s="6" t="s">
        <v>245</v>
      </c>
      <c r="J16" s="6" t="s">
        <v>221</v>
      </c>
      <c r="K16" s="19"/>
      <c r="L16" s="6" t="s">
        <v>263</v>
      </c>
      <c r="M16" s="6" t="s">
        <v>218</v>
      </c>
      <c r="N16" s="6" t="s">
        <v>124</v>
      </c>
      <c r="O16" s="6" t="s">
        <v>38</v>
      </c>
      <c r="P16" s="6" t="s">
        <v>38</v>
      </c>
      <c r="Q16" s="6" t="s">
        <v>38</v>
      </c>
      <c r="R16" s="6" t="s">
        <v>38</v>
      </c>
      <c r="S16" s="6" t="s">
        <v>38</v>
      </c>
      <c r="T16" s="19"/>
      <c r="U16" s="19"/>
      <c r="V16" s="19"/>
    </row>
    <row r="17" customFormat="false" ht="45.75" hidden="false" customHeight="true" outlineLevel="0" collapsed="false">
      <c r="A17" s="6" t="s">
        <v>265</v>
      </c>
      <c r="B17" s="6" t="s">
        <v>209</v>
      </c>
      <c r="C17" s="6" t="s">
        <v>266</v>
      </c>
      <c r="D17" s="6" t="s">
        <v>267</v>
      </c>
      <c r="E17" s="6" t="s">
        <v>268</v>
      </c>
      <c r="F17" s="6" t="s">
        <v>269</v>
      </c>
      <c r="G17" s="6" t="s">
        <v>270</v>
      </c>
      <c r="H17" s="6" t="s">
        <v>271</v>
      </c>
      <c r="I17" s="6" t="s">
        <v>272</v>
      </c>
      <c r="J17" s="6" t="s">
        <v>216</v>
      </c>
      <c r="K17" s="19"/>
      <c r="L17" s="6" t="s">
        <v>273</v>
      </c>
      <c r="M17" s="6" t="s">
        <v>218</v>
      </c>
      <c r="N17" s="6" t="s">
        <v>124</v>
      </c>
      <c r="O17" s="6" t="s">
        <v>38</v>
      </c>
      <c r="P17" s="6" t="s">
        <v>38</v>
      </c>
      <c r="Q17" s="6" t="s">
        <v>38</v>
      </c>
      <c r="R17" s="6" t="s">
        <v>38</v>
      </c>
      <c r="S17" s="6" t="s">
        <v>38</v>
      </c>
      <c r="T17" s="19"/>
      <c r="U17" s="19"/>
      <c r="V17" s="19"/>
    </row>
    <row r="18" customFormat="false" ht="34.5" hidden="false" customHeight="true" outlineLevel="0" collapsed="false">
      <c r="A18" s="6" t="s">
        <v>274</v>
      </c>
      <c r="B18" s="6" t="s">
        <v>220</v>
      </c>
      <c r="C18" s="6" t="s">
        <v>266</v>
      </c>
      <c r="D18" s="6" t="s">
        <v>267</v>
      </c>
      <c r="E18" s="6" t="s">
        <v>268</v>
      </c>
      <c r="F18" s="6" t="s">
        <v>269</v>
      </c>
      <c r="G18" s="6" t="s">
        <v>270</v>
      </c>
      <c r="H18" s="6" t="s">
        <v>271</v>
      </c>
      <c r="I18" s="6" t="s">
        <v>272</v>
      </c>
      <c r="J18" s="6" t="s">
        <v>221</v>
      </c>
      <c r="K18" s="19"/>
      <c r="L18" s="6" t="s">
        <v>273</v>
      </c>
      <c r="M18" s="6" t="s">
        <v>218</v>
      </c>
      <c r="N18" s="6" t="s">
        <v>124</v>
      </c>
      <c r="O18" s="6" t="s">
        <v>38</v>
      </c>
      <c r="P18" s="6" t="s">
        <v>38</v>
      </c>
      <c r="Q18" s="6" t="s">
        <v>38</v>
      </c>
      <c r="R18" s="6" t="s">
        <v>38</v>
      </c>
      <c r="S18" s="6" t="s">
        <v>38</v>
      </c>
      <c r="T18" s="19"/>
      <c r="U18" s="19"/>
      <c r="V18" s="19"/>
    </row>
    <row r="19" customFormat="false" ht="45.75" hidden="false" customHeight="true" outlineLevel="0" collapsed="false">
      <c r="A19" s="6" t="s">
        <v>275</v>
      </c>
      <c r="B19" s="6" t="s">
        <v>209</v>
      </c>
      <c r="C19" s="6" t="s">
        <v>276</v>
      </c>
      <c r="D19" s="6" t="s">
        <v>277</v>
      </c>
      <c r="E19" s="6" t="s">
        <v>278</v>
      </c>
      <c r="F19" s="6" t="s">
        <v>279</v>
      </c>
      <c r="G19" s="6" t="s">
        <v>280</v>
      </c>
      <c r="H19" s="6" t="s">
        <v>281</v>
      </c>
      <c r="I19" s="6" t="s">
        <v>245</v>
      </c>
      <c r="J19" s="6" t="s">
        <v>216</v>
      </c>
      <c r="K19" s="19"/>
      <c r="L19" s="6" t="s">
        <v>282</v>
      </c>
      <c r="M19" s="6" t="s">
        <v>218</v>
      </c>
      <c r="N19" s="6" t="s">
        <v>124</v>
      </c>
      <c r="O19" s="6" t="s">
        <v>38</v>
      </c>
      <c r="P19" s="6" t="s">
        <v>38</v>
      </c>
      <c r="Q19" s="6" t="s">
        <v>38</v>
      </c>
      <c r="R19" s="6" t="s">
        <v>38</v>
      </c>
      <c r="S19" s="6" t="s">
        <v>38</v>
      </c>
      <c r="T19" s="19"/>
      <c r="U19" s="19"/>
      <c r="V19" s="19"/>
    </row>
    <row r="20" customFormat="false" ht="34.5" hidden="false" customHeight="true" outlineLevel="0" collapsed="false">
      <c r="A20" s="6" t="s">
        <v>283</v>
      </c>
      <c r="B20" s="6" t="s">
        <v>220</v>
      </c>
      <c r="C20" s="6" t="s">
        <v>276</v>
      </c>
      <c r="D20" s="6" t="s">
        <v>277</v>
      </c>
      <c r="E20" s="6" t="s">
        <v>278</v>
      </c>
      <c r="F20" s="6" t="s">
        <v>279</v>
      </c>
      <c r="G20" s="6" t="s">
        <v>280</v>
      </c>
      <c r="H20" s="6" t="s">
        <v>281</v>
      </c>
      <c r="I20" s="6" t="s">
        <v>245</v>
      </c>
      <c r="J20" s="6" t="s">
        <v>221</v>
      </c>
      <c r="K20" s="19"/>
      <c r="L20" s="6" t="s">
        <v>282</v>
      </c>
      <c r="M20" s="6" t="s">
        <v>218</v>
      </c>
      <c r="N20" s="6" t="s">
        <v>124</v>
      </c>
      <c r="O20" s="6" t="s">
        <v>38</v>
      </c>
      <c r="P20" s="6" t="s">
        <v>38</v>
      </c>
      <c r="Q20" s="6" t="s">
        <v>38</v>
      </c>
      <c r="R20" s="6" t="s">
        <v>38</v>
      </c>
      <c r="S20" s="6" t="s">
        <v>38</v>
      </c>
      <c r="T20" s="19"/>
      <c r="U20" s="19"/>
      <c r="V20" s="19"/>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46"/>
    <col collapsed="false" customWidth="true" hidden="false" outlineLevel="0" max="4" min="4" style="1" width="30"/>
    <col collapsed="false" customWidth="true" hidden="false" outlineLevel="0" max="5" min="5" style="1" width="28"/>
    <col collapsed="false" customWidth="true" hidden="false" outlineLevel="0" max="6" min="6" style="1" width="18"/>
    <col collapsed="false" customWidth="true" hidden="false" outlineLevel="0" max="7" min="7" style="1" width="30"/>
    <col collapsed="false" customWidth="true" hidden="false" outlineLevel="0" max="8" min="8" style="1" width="12"/>
    <col collapsed="false" customWidth="true" hidden="false" outlineLevel="0" max="9" min="9" style="1" width="24"/>
    <col collapsed="false" customWidth="true" hidden="false" outlineLevel="0" max="11" min="10" style="1" width="12"/>
    <col collapsed="false" customWidth="true" hidden="false" outlineLevel="0" max="12" min="12" style="1" width="13"/>
    <col collapsed="false" customWidth="true" hidden="false" outlineLevel="0" max="14" min="13" style="1" width="12"/>
    <col collapsed="false" customWidth="true" hidden="false" outlineLevel="0" max="15" min="15" style="1" width="30"/>
  </cols>
  <sheetData>
    <row r="1" customFormat="false" ht="25.5" hidden="false" customHeight="true" outlineLevel="0" collapsed="false">
      <c r="A1" s="2" t="s">
        <v>284</v>
      </c>
    </row>
    <row r="2" customFormat="false" ht="15" hidden="false" customHeight="true" outlineLevel="0" collapsed="false">
      <c r="A2" s="3" t="s">
        <v>285</v>
      </c>
    </row>
    <row r="4" customFormat="false" ht="31.5" hidden="false" customHeight="true" outlineLevel="0" collapsed="false">
      <c r="A4" s="5" t="s">
        <v>56</v>
      </c>
      <c r="B4" s="5" t="s">
        <v>198</v>
      </c>
      <c r="C4" s="5" t="s">
        <v>205</v>
      </c>
      <c r="D4" s="5" t="s">
        <v>286</v>
      </c>
      <c r="E4" s="5" t="s">
        <v>66</v>
      </c>
      <c r="F4" s="5" t="s">
        <v>65</v>
      </c>
      <c r="G4" s="5" t="s">
        <v>287</v>
      </c>
      <c r="H4" s="5" t="s">
        <v>68</v>
      </c>
      <c r="I4" s="5" t="s">
        <v>69</v>
      </c>
      <c r="J4" s="5" t="s">
        <v>70</v>
      </c>
      <c r="K4" s="5" t="s">
        <v>71</v>
      </c>
      <c r="L4" s="5" t="s">
        <v>72</v>
      </c>
      <c r="M4" s="5" t="s">
        <v>73</v>
      </c>
      <c r="N4" s="5" t="s">
        <v>75</v>
      </c>
      <c r="O4" s="5" t="s">
        <v>76</v>
      </c>
    </row>
    <row r="5" customFormat="false" ht="23.25" hidden="false" customHeight="true" outlineLevel="0" collapsed="false">
      <c r="A5" s="6" t="s">
        <v>288</v>
      </c>
      <c r="B5" s="6" t="s">
        <v>209</v>
      </c>
      <c r="C5" s="6" t="s">
        <v>289</v>
      </c>
      <c r="D5" s="6" t="s">
        <v>290</v>
      </c>
      <c r="E5" s="6" t="s">
        <v>291</v>
      </c>
      <c r="F5" s="6" t="s">
        <v>292</v>
      </c>
      <c r="G5" s="6" t="s">
        <v>293</v>
      </c>
      <c r="H5" s="6" t="s">
        <v>38</v>
      </c>
      <c r="I5" s="6" t="s">
        <v>38</v>
      </c>
      <c r="J5" s="6" t="s">
        <v>38</v>
      </c>
      <c r="K5" s="6" t="s">
        <v>38</v>
      </c>
      <c r="L5" s="6" t="s">
        <v>38</v>
      </c>
      <c r="M5" s="19"/>
      <c r="N5" s="19"/>
      <c r="O5" s="19" t="s">
        <v>294</v>
      </c>
    </row>
    <row r="6" customFormat="false" ht="23.25" hidden="false" customHeight="true" outlineLevel="0" collapsed="false">
      <c r="A6" s="6" t="s">
        <v>295</v>
      </c>
      <c r="B6" s="6" t="s">
        <v>220</v>
      </c>
      <c r="C6" s="6" t="s">
        <v>296</v>
      </c>
      <c r="D6" s="6" t="s">
        <v>297</v>
      </c>
      <c r="E6" s="6" t="s">
        <v>291</v>
      </c>
      <c r="F6" s="6" t="s">
        <v>292</v>
      </c>
      <c r="G6" s="6" t="s">
        <v>298</v>
      </c>
      <c r="H6" s="6" t="s">
        <v>38</v>
      </c>
      <c r="I6" s="6" t="s">
        <v>38</v>
      </c>
      <c r="J6" s="6" t="s">
        <v>38</v>
      </c>
      <c r="K6" s="6" t="s">
        <v>38</v>
      </c>
      <c r="L6" s="6" t="s">
        <v>38</v>
      </c>
      <c r="M6" s="19"/>
      <c r="N6" s="19"/>
      <c r="O6" s="19" t="s">
        <v>299</v>
      </c>
    </row>
    <row r="8" customFormat="false" ht="15" hidden="false" customHeight="true" outlineLevel="0" collapsed="false">
      <c r="A8" s="4" t="s">
        <v>300</v>
      </c>
    </row>
    <row r="9" customFormat="false" ht="31.5" hidden="false" customHeight="true" outlineLevel="0" collapsed="false">
      <c r="A9" s="5" t="s">
        <v>301</v>
      </c>
      <c r="B9" s="5" t="s">
        <v>302</v>
      </c>
      <c r="C9" s="5" t="s">
        <v>303</v>
      </c>
      <c r="D9" s="5" t="s">
        <v>304</v>
      </c>
      <c r="E9" s="5" t="s">
        <v>305</v>
      </c>
      <c r="F9" s="5" t="s">
        <v>306</v>
      </c>
      <c r="G9" s="5" t="s">
        <v>307</v>
      </c>
      <c r="H9" s="5" t="s">
        <v>308</v>
      </c>
      <c r="I9" s="5" t="s">
        <v>76</v>
      </c>
    </row>
    <row r="10" customFormat="false" ht="23.25" hidden="false" customHeight="true" outlineLevel="0" collapsed="false">
      <c r="A10" s="6" t="n">
        <v>1</v>
      </c>
      <c r="B10" s="6" t="s">
        <v>309</v>
      </c>
      <c r="C10" s="6" t="s">
        <v>310</v>
      </c>
      <c r="D10" s="6" t="s">
        <v>311</v>
      </c>
      <c r="E10" s="6" t="s">
        <v>312</v>
      </c>
      <c r="F10" s="6" t="s">
        <v>313</v>
      </c>
      <c r="G10" s="6" t="s">
        <v>314</v>
      </c>
      <c r="H10" s="6" t="s">
        <v>38</v>
      </c>
      <c r="I10" s="19"/>
    </row>
    <row r="11" customFormat="false" ht="15" hidden="false" customHeight="true" outlineLevel="0" collapsed="false">
      <c r="A11" s="6" t="n">
        <v>2</v>
      </c>
      <c r="B11" s="6" t="s">
        <v>315</v>
      </c>
      <c r="C11" s="6" t="s">
        <v>316</v>
      </c>
      <c r="D11" s="6" t="s">
        <v>317</v>
      </c>
      <c r="E11" s="6" t="s">
        <v>318</v>
      </c>
      <c r="F11" s="6" t="s">
        <v>215</v>
      </c>
      <c r="G11" s="6" t="s">
        <v>319</v>
      </c>
      <c r="H11" s="6" t="s">
        <v>38</v>
      </c>
      <c r="I11" s="19"/>
    </row>
    <row r="12" customFormat="false" ht="15" hidden="false" customHeight="true" outlineLevel="0" collapsed="false">
      <c r="A12" s="6" t="n">
        <v>3</v>
      </c>
      <c r="B12" s="6" t="s">
        <v>320</v>
      </c>
      <c r="C12" s="6" t="s">
        <v>321</v>
      </c>
      <c r="D12" s="6" t="s">
        <v>322</v>
      </c>
      <c r="E12" s="6" t="s">
        <v>323</v>
      </c>
      <c r="F12" s="6" t="s">
        <v>324</v>
      </c>
      <c r="G12" s="6" t="s">
        <v>325</v>
      </c>
      <c r="H12" s="6" t="s">
        <v>38</v>
      </c>
      <c r="I12" s="19"/>
    </row>
    <row r="13" customFormat="false" ht="15" hidden="false" customHeight="true" outlineLevel="0" collapsed="false">
      <c r="A13" s="6" t="n">
        <v>4</v>
      </c>
      <c r="B13" s="6" t="s">
        <v>326</v>
      </c>
      <c r="C13" s="6" t="s">
        <v>327</v>
      </c>
      <c r="D13" s="6" t="s">
        <v>328</v>
      </c>
      <c r="E13" s="6" t="s">
        <v>329</v>
      </c>
      <c r="F13" s="6" t="s">
        <v>272</v>
      </c>
      <c r="G13" s="6" t="s">
        <v>330</v>
      </c>
      <c r="H13" s="6" t="s">
        <v>38</v>
      </c>
      <c r="I13" s="19"/>
    </row>
    <row r="14" customFormat="false" ht="15" hidden="false" customHeight="true" outlineLevel="0" collapsed="false">
      <c r="A14" s="6" t="n">
        <v>5</v>
      </c>
      <c r="B14" s="6" t="s">
        <v>331</v>
      </c>
      <c r="C14" s="6" t="s">
        <v>332</v>
      </c>
      <c r="D14" s="6" t="s">
        <v>333</v>
      </c>
      <c r="E14" s="6" t="s">
        <v>334</v>
      </c>
      <c r="F14" s="6" t="s">
        <v>267</v>
      </c>
      <c r="G14" s="6" t="s">
        <v>335</v>
      </c>
      <c r="H14" s="6" t="s">
        <v>38</v>
      </c>
      <c r="I14" s="19"/>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60"/>
    <col collapsed="false" customWidth="true" hidden="false" outlineLevel="0" max="7" min="7" style="1" width="46"/>
    <col collapsed="false" customWidth="true" hidden="false" outlineLevel="0" max="8" min="8" style="1" width="30"/>
    <col collapsed="false" customWidth="true" hidden="false" outlineLevel="0" max="9" min="9" style="1" width="52"/>
    <col collapsed="false" customWidth="true" hidden="false" outlineLevel="0" max="10" min="10" style="1" width="13"/>
    <col collapsed="false" customWidth="true" hidden="false" outlineLevel="0" max="11" min="11" style="1" width="30"/>
  </cols>
  <sheetData>
    <row r="1" customFormat="false" ht="25.5" hidden="false" customHeight="true" outlineLevel="0" collapsed="false">
      <c r="A1" s="2" t="s">
        <v>336</v>
      </c>
    </row>
    <row r="2" customFormat="false" ht="15" hidden="false" customHeight="true" outlineLevel="0" collapsed="false">
      <c r="A2" s="3" t="s">
        <v>337</v>
      </c>
    </row>
    <row r="4" customFormat="false" ht="31.5" hidden="false" customHeight="true" outlineLevel="0" collapsed="false">
      <c r="A4" s="5" t="s">
        <v>56</v>
      </c>
      <c r="B4" s="5" t="s">
        <v>338</v>
      </c>
      <c r="C4" s="5" t="s">
        <v>198</v>
      </c>
      <c r="D4" s="5" t="s">
        <v>66</v>
      </c>
      <c r="E4" s="5" t="s">
        <v>339</v>
      </c>
      <c r="F4" s="5" t="s">
        <v>340</v>
      </c>
      <c r="G4" s="5" t="s">
        <v>341</v>
      </c>
      <c r="H4" s="5" t="s">
        <v>342</v>
      </c>
      <c r="I4" s="5" t="s">
        <v>343</v>
      </c>
      <c r="J4" s="5" t="s">
        <v>344</v>
      </c>
      <c r="K4" s="5" t="s">
        <v>76</v>
      </c>
    </row>
    <row r="5" customFormat="false" ht="363.75" hidden="false" customHeight="true" outlineLevel="0" collapsed="false">
      <c r="A5" s="6" t="s">
        <v>92</v>
      </c>
      <c r="B5" s="6" t="s">
        <v>345</v>
      </c>
      <c r="C5" s="6" t="s">
        <v>346</v>
      </c>
      <c r="D5" s="6" t="s">
        <v>347</v>
      </c>
      <c r="E5" s="6" t="n">
        <v>123</v>
      </c>
      <c r="F5" s="6" t="s">
        <v>348</v>
      </c>
      <c r="G5" s="6" t="s">
        <v>349</v>
      </c>
      <c r="H5" s="6" t="s">
        <v>350</v>
      </c>
      <c r="I5" s="6" t="s">
        <v>351</v>
      </c>
      <c r="J5" s="6" t="s">
        <v>41</v>
      </c>
      <c r="K5" s="19" t="s">
        <v>352</v>
      </c>
    </row>
    <row r="6" customFormat="false" ht="298.5" hidden="false" customHeight="true" outlineLevel="0" collapsed="false">
      <c r="A6" s="6" t="s">
        <v>103</v>
      </c>
      <c r="B6" s="6" t="s">
        <v>353</v>
      </c>
      <c r="C6" s="6" t="s">
        <v>346</v>
      </c>
      <c r="D6" s="6" t="s">
        <v>111</v>
      </c>
      <c r="E6" s="6" t="n">
        <v>140</v>
      </c>
      <c r="F6" s="6" t="s">
        <v>354</v>
      </c>
      <c r="G6" s="6" t="s">
        <v>355</v>
      </c>
      <c r="H6" s="6" t="s">
        <v>350</v>
      </c>
      <c r="I6" s="6" t="s">
        <v>356</v>
      </c>
      <c r="J6" s="6" t="s">
        <v>38</v>
      </c>
      <c r="K6" s="19" t="s">
        <v>357</v>
      </c>
    </row>
    <row r="7" customFormat="false" ht="39" hidden="false" customHeight="true" outlineLevel="0" collapsed="false">
      <c r="A7" s="6" t="s">
        <v>115</v>
      </c>
      <c r="B7" s="6" t="s">
        <v>116</v>
      </c>
      <c r="C7" s="6" t="s">
        <v>346</v>
      </c>
      <c r="D7" s="6" t="s">
        <v>124</v>
      </c>
      <c r="E7" s="6" t="n">
        <v>128</v>
      </c>
      <c r="F7" s="6" t="s">
        <v>358</v>
      </c>
      <c r="G7" s="6" t="s">
        <v>359</v>
      </c>
      <c r="H7" s="6" t="s">
        <v>359</v>
      </c>
      <c r="I7" s="6" t="s">
        <v>359</v>
      </c>
      <c r="J7" s="6" t="s">
        <v>38</v>
      </c>
      <c r="K7" s="19" t="s">
        <v>360</v>
      </c>
    </row>
    <row r="8" customFormat="false" ht="39" hidden="false" customHeight="true" outlineLevel="0" collapsed="false">
      <c r="A8" s="6" t="s">
        <v>128</v>
      </c>
      <c r="B8" s="6" t="s">
        <v>129</v>
      </c>
      <c r="C8" s="6" t="s">
        <v>346</v>
      </c>
      <c r="D8" s="6" t="s">
        <v>124</v>
      </c>
      <c r="E8" s="6" t="n">
        <v>122</v>
      </c>
      <c r="F8" s="6" t="s">
        <v>361</v>
      </c>
      <c r="G8" s="6" t="s">
        <v>359</v>
      </c>
      <c r="H8" s="6" t="s">
        <v>359</v>
      </c>
      <c r="I8" s="6" t="s">
        <v>359</v>
      </c>
      <c r="J8" s="6" t="s">
        <v>38</v>
      </c>
      <c r="K8" s="19" t="s">
        <v>362</v>
      </c>
    </row>
    <row r="9" customFormat="false" ht="39" hidden="false" customHeight="true" outlineLevel="0" collapsed="false">
      <c r="A9" s="6" t="s">
        <v>137</v>
      </c>
      <c r="B9" s="6" t="s">
        <v>138</v>
      </c>
      <c r="C9" s="6" t="s">
        <v>346</v>
      </c>
      <c r="D9" s="6" t="s">
        <v>124</v>
      </c>
      <c r="E9" s="6" t="n">
        <v>120</v>
      </c>
      <c r="F9" s="6" t="s">
        <v>363</v>
      </c>
      <c r="G9" s="6" t="s">
        <v>359</v>
      </c>
      <c r="H9" s="6" t="s">
        <v>359</v>
      </c>
      <c r="I9" s="6" t="s">
        <v>359</v>
      </c>
      <c r="J9" s="6" t="s">
        <v>38</v>
      </c>
      <c r="K9" s="19" t="s">
        <v>364</v>
      </c>
    </row>
    <row r="10" customFormat="false" ht="39" hidden="false" customHeight="true" outlineLevel="0" collapsed="false">
      <c r="A10" s="6" t="s">
        <v>148</v>
      </c>
      <c r="B10" s="6" t="s">
        <v>149</v>
      </c>
      <c r="C10" s="6" t="s">
        <v>346</v>
      </c>
      <c r="D10" s="6" t="s">
        <v>124</v>
      </c>
      <c r="E10" s="6" t="n">
        <v>124</v>
      </c>
      <c r="F10" s="6" t="s">
        <v>365</v>
      </c>
      <c r="G10" s="6" t="s">
        <v>359</v>
      </c>
      <c r="H10" s="6" t="s">
        <v>359</v>
      </c>
      <c r="I10" s="6" t="s">
        <v>359</v>
      </c>
      <c r="J10" s="6" t="s">
        <v>38</v>
      </c>
      <c r="K10" s="19" t="s">
        <v>366</v>
      </c>
    </row>
    <row r="11" customFormat="false" ht="39" hidden="false" customHeight="true" outlineLevel="0" collapsed="false">
      <c r="A11" s="6" t="s">
        <v>157</v>
      </c>
      <c r="B11" s="6" t="s">
        <v>158</v>
      </c>
      <c r="C11" s="6" t="s">
        <v>346</v>
      </c>
      <c r="D11" s="6" t="s">
        <v>124</v>
      </c>
      <c r="E11" s="6" t="n">
        <v>132</v>
      </c>
      <c r="F11" s="6" t="s">
        <v>367</v>
      </c>
      <c r="G11" s="6" t="s">
        <v>359</v>
      </c>
      <c r="H11" s="6" t="s">
        <v>359</v>
      </c>
      <c r="I11" s="6" t="s">
        <v>359</v>
      </c>
      <c r="J11" s="6" t="s">
        <v>38</v>
      </c>
      <c r="K11" s="19" t="s">
        <v>368</v>
      </c>
    </row>
    <row r="12" customFormat="false" ht="39" hidden="false" customHeight="true" outlineLevel="0" collapsed="false">
      <c r="A12" s="6" t="s">
        <v>167</v>
      </c>
      <c r="B12" s="6" t="s">
        <v>168</v>
      </c>
      <c r="C12" s="6" t="s">
        <v>346</v>
      </c>
      <c r="D12" s="6" t="s">
        <v>124</v>
      </c>
      <c r="E12" s="6" t="n">
        <v>136</v>
      </c>
      <c r="F12" s="6" t="s">
        <v>369</v>
      </c>
      <c r="G12" s="6" t="s">
        <v>359</v>
      </c>
      <c r="H12" s="6" t="s">
        <v>359</v>
      </c>
      <c r="I12" s="6" t="s">
        <v>359</v>
      </c>
      <c r="J12" s="6" t="s">
        <v>38</v>
      </c>
      <c r="K12" s="19" t="s">
        <v>370</v>
      </c>
    </row>
    <row r="13" customFormat="false" ht="168.75" hidden="false" customHeight="true" outlineLevel="0" collapsed="false">
      <c r="A13" s="6" t="s">
        <v>208</v>
      </c>
      <c r="B13" s="6" t="s">
        <v>210</v>
      </c>
      <c r="C13" s="6" t="s">
        <v>371</v>
      </c>
      <c r="D13" s="6" t="s">
        <v>124</v>
      </c>
      <c r="E13" s="6"/>
      <c r="F13" s="6" t="s">
        <v>372</v>
      </c>
      <c r="G13" s="6" t="s">
        <v>373</v>
      </c>
      <c r="H13" s="6" t="s">
        <v>374</v>
      </c>
      <c r="I13" s="6" t="s">
        <v>375</v>
      </c>
      <c r="J13" s="6" t="s">
        <v>38</v>
      </c>
      <c r="K13" s="19" t="s">
        <v>376</v>
      </c>
    </row>
    <row r="14" customFormat="false" ht="298.5" hidden="false" customHeight="true" outlineLevel="0" collapsed="false">
      <c r="A14" s="6" t="s">
        <v>219</v>
      </c>
      <c r="B14" s="6" t="s">
        <v>210</v>
      </c>
      <c r="C14" s="6" t="s">
        <v>377</v>
      </c>
      <c r="D14" s="6" t="s">
        <v>124</v>
      </c>
      <c r="E14" s="6"/>
      <c r="F14" s="6" t="s">
        <v>378</v>
      </c>
      <c r="G14" s="6" t="s">
        <v>379</v>
      </c>
      <c r="H14" s="6" t="s">
        <v>350</v>
      </c>
      <c r="I14" s="6" t="s">
        <v>380</v>
      </c>
      <c r="J14" s="6" t="s">
        <v>38</v>
      </c>
      <c r="K14" s="19" t="s">
        <v>381</v>
      </c>
    </row>
    <row r="15" customFormat="false" ht="156" hidden="false" customHeight="true" outlineLevel="0" collapsed="false">
      <c r="A15" s="6" t="s">
        <v>222</v>
      </c>
      <c r="B15" s="6" t="s">
        <v>223</v>
      </c>
      <c r="C15" s="6" t="s">
        <v>371</v>
      </c>
      <c r="D15" s="6" t="s">
        <v>124</v>
      </c>
      <c r="E15" s="6"/>
      <c r="F15" s="6" t="s">
        <v>382</v>
      </c>
      <c r="G15" s="6" t="s">
        <v>383</v>
      </c>
      <c r="H15" s="6" t="s">
        <v>374</v>
      </c>
      <c r="I15" s="6" t="s">
        <v>384</v>
      </c>
      <c r="J15" s="6" t="s">
        <v>38</v>
      </c>
      <c r="K15" s="19" t="s">
        <v>376</v>
      </c>
    </row>
    <row r="16" customFormat="false" ht="298.5" hidden="false" customHeight="true" outlineLevel="0" collapsed="false">
      <c r="A16" s="6" t="s">
        <v>229</v>
      </c>
      <c r="B16" s="6" t="s">
        <v>223</v>
      </c>
      <c r="C16" s="6" t="s">
        <v>377</v>
      </c>
      <c r="D16" s="6" t="s">
        <v>124</v>
      </c>
      <c r="E16" s="6"/>
      <c r="F16" s="6" t="s">
        <v>385</v>
      </c>
      <c r="G16" s="6" t="s">
        <v>386</v>
      </c>
      <c r="H16" s="6" t="s">
        <v>350</v>
      </c>
      <c r="I16" s="6" t="s">
        <v>387</v>
      </c>
      <c r="J16" s="6" t="s">
        <v>38</v>
      </c>
      <c r="K16" s="19" t="s">
        <v>381</v>
      </c>
    </row>
    <row r="17" customFormat="false" ht="156" hidden="false" customHeight="true" outlineLevel="0" collapsed="false">
      <c r="A17" s="6" t="s">
        <v>230</v>
      </c>
      <c r="B17" s="6" t="s">
        <v>231</v>
      </c>
      <c r="C17" s="6" t="s">
        <v>371</v>
      </c>
      <c r="D17" s="6" t="s">
        <v>124</v>
      </c>
      <c r="E17" s="6"/>
      <c r="F17" s="6" t="s">
        <v>388</v>
      </c>
      <c r="G17" s="6" t="s">
        <v>389</v>
      </c>
      <c r="H17" s="6" t="s">
        <v>374</v>
      </c>
      <c r="I17" s="6" t="s">
        <v>390</v>
      </c>
      <c r="J17" s="6" t="s">
        <v>38</v>
      </c>
      <c r="K17" s="19" t="s">
        <v>376</v>
      </c>
    </row>
    <row r="18" customFormat="false" ht="298.5" hidden="false" customHeight="true" outlineLevel="0" collapsed="false">
      <c r="A18" s="6" t="s">
        <v>238</v>
      </c>
      <c r="B18" s="6" t="s">
        <v>231</v>
      </c>
      <c r="C18" s="6" t="s">
        <v>377</v>
      </c>
      <c r="D18" s="6" t="s">
        <v>124</v>
      </c>
      <c r="E18" s="6"/>
      <c r="F18" s="6" t="s">
        <v>391</v>
      </c>
      <c r="G18" s="6" t="s">
        <v>392</v>
      </c>
      <c r="H18" s="6" t="s">
        <v>350</v>
      </c>
      <c r="I18" s="6" t="s">
        <v>393</v>
      </c>
      <c r="J18" s="6" t="s">
        <v>38</v>
      </c>
      <c r="K18" s="19" t="s">
        <v>381</v>
      </c>
    </row>
    <row r="19" customFormat="false" ht="156" hidden="false" customHeight="true" outlineLevel="0" collapsed="false">
      <c r="A19" s="6" t="s">
        <v>239</v>
      </c>
      <c r="B19" s="6" t="s">
        <v>240</v>
      </c>
      <c r="C19" s="6" t="s">
        <v>371</v>
      </c>
      <c r="D19" s="6" t="s">
        <v>124</v>
      </c>
      <c r="E19" s="6"/>
      <c r="F19" s="6" t="s">
        <v>394</v>
      </c>
      <c r="G19" s="6" t="s">
        <v>395</v>
      </c>
      <c r="H19" s="6" t="s">
        <v>374</v>
      </c>
      <c r="I19" s="6" t="s">
        <v>396</v>
      </c>
      <c r="J19" s="6" t="s">
        <v>38</v>
      </c>
      <c r="K19" s="19" t="s">
        <v>376</v>
      </c>
    </row>
    <row r="20" customFormat="false" ht="298.5" hidden="false" customHeight="true" outlineLevel="0" collapsed="false">
      <c r="A20" s="6" t="s">
        <v>247</v>
      </c>
      <c r="B20" s="6" t="s">
        <v>240</v>
      </c>
      <c r="C20" s="6" t="s">
        <v>377</v>
      </c>
      <c r="D20" s="6" t="s">
        <v>124</v>
      </c>
      <c r="E20" s="6"/>
      <c r="F20" s="6" t="s">
        <v>397</v>
      </c>
      <c r="G20" s="6" t="s">
        <v>398</v>
      </c>
      <c r="H20" s="6" t="s">
        <v>350</v>
      </c>
      <c r="I20" s="6" t="s">
        <v>399</v>
      </c>
      <c r="J20" s="6" t="s">
        <v>38</v>
      </c>
      <c r="K20" s="19" t="s">
        <v>381</v>
      </c>
    </row>
    <row r="21" customFormat="false" ht="156" hidden="false" customHeight="true" outlineLevel="0" collapsed="false">
      <c r="A21" s="6" t="s">
        <v>248</v>
      </c>
      <c r="B21" s="6" t="s">
        <v>249</v>
      </c>
      <c r="C21" s="6" t="s">
        <v>371</v>
      </c>
      <c r="D21" s="6" t="s">
        <v>124</v>
      </c>
      <c r="E21" s="6"/>
      <c r="F21" s="6" t="s">
        <v>400</v>
      </c>
      <c r="G21" s="6" t="s">
        <v>401</v>
      </c>
      <c r="H21" s="6" t="s">
        <v>374</v>
      </c>
      <c r="I21" s="6" t="s">
        <v>402</v>
      </c>
      <c r="J21" s="6" t="s">
        <v>38</v>
      </c>
      <c r="K21" s="19" t="s">
        <v>376</v>
      </c>
    </row>
    <row r="22" customFormat="false" ht="298.5" hidden="false" customHeight="true" outlineLevel="0" collapsed="false">
      <c r="A22" s="6" t="s">
        <v>255</v>
      </c>
      <c r="B22" s="6" t="s">
        <v>249</v>
      </c>
      <c r="C22" s="6" t="s">
        <v>377</v>
      </c>
      <c r="D22" s="6" t="s">
        <v>124</v>
      </c>
      <c r="E22" s="6"/>
      <c r="F22" s="6" t="s">
        <v>403</v>
      </c>
      <c r="G22" s="6" t="s">
        <v>404</v>
      </c>
      <c r="H22" s="6" t="s">
        <v>350</v>
      </c>
      <c r="I22" s="6" t="s">
        <v>405</v>
      </c>
      <c r="J22" s="6" t="s">
        <v>38</v>
      </c>
      <c r="K22" s="19" t="s">
        <v>381</v>
      </c>
    </row>
    <row r="23" customFormat="false" ht="156" hidden="false" customHeight="true" outlineLevel="0" collapsed="false">
      <c r="A23" s="6" t="s">
        <v>256</v>
      </c>
      <c r="B23" s="6" t="s">
        <v>257</v>
      </c>
      <c r="C23" s="6" t="s">
        <v>371</v>
      </c>
      <c r="D23" s="6" t="s">
        <v>124</v>
      </c>
      <c r="E23" s="6"/>
      <c r="F23" s="6" t="s">
        <v>406</v>
      </c>
      <c r="G23" s="6" t="s">
        <v>407</v>
      </c>
      <c r="H23" s="6" t="s">
        <v>374</v>
      </c>
      <c r="I23" s="6" t="s">
        <v>408</v>
      </c>
      <c r="J23" s="6" t="s">
        <v>38</v>
      </c>
      <c r="K23" s="19" t="s">
        <v>376</v>
      </c>
    </row>
    <row r="24" customFormat="false" ht="298.5" hidden="false" customHeight="true" outlineLevel="0" collapsed="false">
      <c r="A24" s="6" t="s">
        <v>264</v>
      </c>
      <c r="B24" s="6" t="s">
        <v>257</v>
      </c>
      <c r="C24" s="6" t="s">
        <v>377</v>
      </c>
      <c r="D24" s="6" t="s">
        <v>124</v>
      </c>
      <c r="E24" s="6"/>
      <c r="F24" s="6" t="s">
        <v>409</v>
      </c>
      <c r="G24" s="6" t="s">
        <v>410</v>
      </c>
      <c r="H24" s="6" t="s">
        <v>350</v>
      </c>
      <c r="I24" s="6" t="s">
        <v>411</v>
      </c>
      <c r="J24" s="6" t="s">
        <v>38</v>
      </c>
      <c r="K24" s="19" t="s">
        <v>381</v>
      </c>
    </row>
    <row r="25" customFormat="false" ht="156" hidden="false" customHeight="true" outlineLevel="0" collapsed="false">
      <c r="A25" s="6" t="s">
        <v>265</v>
      </c>
      <c r="B25" s="6" t="s">
        <v>266</v>
      </c>
      <c r="C25" s="6" t="s">
        <v>371</v>
      </c>
      <c r="D25" s="6" t="s">
        <v>124</v>
      </c>
      <c r="E25" s="6"/>
      <c r="F25" s="6" t="s">
        <v>412</v>
      </c>
      <c r="G25" s="6" t="s">
        <v>413</v>
      </c>
      <c r="H25" s="6" t="s">
        <v>374</v>
      </c>
      <c r="I25" s="6" t="s">
        <v>414</v>
      </c>
      <c r="J25" s="6" t="s">
        <v>38</v>
      </c>
      <c r="K25" s="19" t="s">
        <v>376</v>
      </c>
    </row>
    <row r="26" customFormat="false" ht="298.5" hidden="false" customHeight="true" outlineLevel="0" collapsed="false">
      <c r="A26" s="6" t="s">
        <v>274</v>
      </c>
      <c r="B26" s="6" t="s">
        <v>266</v>
      </c>
      <c r="C26" s="6" t="s">
        <v>377</v>
      </c>
      <c r="D26" s="6" t="s">
        <v>124</v>
      </c>
      <c r="E26" s="6"/>
      <c r="F26" s="6" t="s">
        <v>415</v>
      </c>
      <c r="G26" s="6" t="s">
        <v>416</v>
      </c>
      <c r="H26" s="6" t="s">
        <v>350</v>
      </c>
      <c r="I26" s="6" t="s">
        <v>417</v>
      </c>
      <c r="J26" s="6" t="s">
        <v>38</v>
      </c>
      <c r="K26" s="19" t="s">
        <v>381</v>
      </c>
    </row>
    <row r="27" customFormat="false" ht="156" hidden="false" customHeight="true" outlineLevel="0" collapsed="false">
      <c r="A27" s="6" t="s">
        <v>275</v>
      </c>
      <c r="B27" s="6" t="s">
        <v>276</v>
      </c>
      <c r="C27" s="6" t="s">
        <v>371</v>
      </c>
      <c r="D27" s="6" t="s">
        <v>124</v>
      </c>
      <c r="E27" s="6"/>
      <c r="F27" s="6" t="s">
        <v>418</v>
      </c>
      <c r="G27" s="6" t="s">
        <v>419</v>
      </c>
      <c r="H27" s="6" t="s">
        <v>374</v>
      </c>
      <c r="I27" s="6" t="s">
        <v>420</v>
      </c>
      <c r="J27" s="6" t="s">
        <v>38</v>
      </c>
      <c r="K27" s="19" t="s">
        <v>376</v>
      </c>
    </row>
    <row r="28" customFormat="false" ht="298.5" hidden="false" customHeight="true" outlineLevel="0" collapsed="false">
      <c r="A28" s="6" t="s">
        <v>283</v>
      </c>
      <c r="B28" s="6" t="s">
        <v>276</v>
      </c>
      <c r="C28" s="6" t="s">
        <v>377</v>
      </c>
      <c r="D28" s="6" t="s">
        <v>124</v>
      </c>
      <c r="E28" s="6"/>
      <c r="F28" s="6" t="s">
        <v>421</v>
      </c>
      <c r="G28" s="6" t="s">
        <v>422</v>
      </c>
      <c r="H28" s="6" t="s">
        <v>350</v>
      </c>
      <c r="I28" s="6" t="s">
        <v>423</v>
      </c>
      <c r="J28" s="6" t="s">
        <v>38</v>
      </c>
      <c r="K28" s="19" t="s">
        <v>381</v>
      </c>
    </row>
    <row r="29" customFormat="false" ht="195" hidden="false" customHeight="true" outlineLevel="0" collapsed="false">
      <c r="A29" s="6" t="s">
        <v>288</v>
      </c>
      <c r="B29" s="6" t="s">
        <v>424</v>
      </c>
      <c r="C29" s="6" t="s">
        <v>371</v>
      </c>
      <c r="D29" s="6" t="s">
        <v>425</v>
      </c>
      <c r="E29" s="6" t="n">
        <v>90</v>
      </c>
      <c r="F29" s="6" t="s">
        <v>426</v>
      </c>
      <c r="G29" s="6" t="s">
        <v>427</v>
      </c>
      <c r="H29" s="6" t="s">
        <v>374</v>
      </c>
      <c r="I29" s="6" t="s">
        <v>428</v>
      </c>
      <c r="J29" s="6" t="s">
        <v>38</v>
      </c>
      <c r="K29" s="19" t="s">
        <v>429</v>
      </c>
    </row>
    <row r="30" customFormat="false" ht="408.75" hidden="false" customHeight="true" outlineLevel="0" collapsed="false">
      <c r="A30" s="6" t="s">
        <v>295</v>
      </c>
      <c r="B30" s="6" t="s">
        <v>430</v>
      </c>
      <c r="C30" s="6" t="s">
        <v>377</v>
      </c>
      <c r="D30" s="6" t="s">
        <v>425</v>
      </c>
      <c r="E30" s="6" t="n">
        <v>118</v>
      </c>
      <c r="F30" s="6" t="s">
        <v>431</v>
      </c>
      <c r="G30" s="6" t="s">
        <v>432</v>
      </c>
      <c r="H30" s="6" t="s">
        <v>350</v>
      </c>
      <c r="I30" s="6" t="s">
        <v>433</v>
      </c>
      <c r="J30" s="6" t="s">
        <v>38</v>
      </c>
      <c r="K30" s="19" t="s">
        <v>434</v>
      </c>
    </row>
    <row r="31" customFormat="false" ht="39" hidden="false" customHeight="true" outlineLevel="0" collapsed="false">
      <c r="A31" s="6" t="s">
        <v>177</v>
      </c>
      <c r="B31" s="6" t="s">
        <v>178</v>
      </c>
      <c r="C31" s="6" t="s">
        <v>346</v>
      </c>
      <c r="D31" s="6" t="s">
        <v>124</v>
      </c>
      <c r="E31" s="6" t="n">
        <v>124</v>
      </c>
      <c r="F31" s="6" t="s">
        <v>435</v>
      </c>
      <c r="G31" s="6" t="s">
        <v>359</v>
      </c>
      <c r="H31" s="6" t="s">
        <v>359</v>
      </c>
      <c r="I31" s="6" t="s">
        <v>359</v>
      </c>
      <c r="J31" s="6" t="s">
        <v>38</v>
      </c>
      <c r="K31" s="19" t="s">
        <v>436</v>
      </c>
    </row>
    <row r="32" customFormat="false" ht="39" hidden="false" customHeight="true" outlineLevel="0" collapsed="false">
      <c r="A32" s="6" t="s">
        <v>187</v>
      </c>
      <c r="B32" s="6" t="s">
        <v>188</v>
      </c>
      <c r="C32" s="6" t="s">
        <v>346</v>
      </c>
      <c r="D32" s="6" t="s">
        <v>124</v>
      </c>
      <c r="E32" s="6" t="n">
        <v>128</v>
      </c>
      <c r="F32" s="6" t="s">
        <v>437</v>
      </c>
      <c r="G32" s="6" t="s">
        <v>359</v>
      </c>
      <c r="H32" s="6" t="s">
        <v>359</v>
      </c>
      <c r="I32" s="6" t="s">
        <v>359</v>
      </c>
      <c r="J32" s="6" t="s">
        <v>38</v>
      </c>
      <c r="K32" s="19" t="s">
        <v>438</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2"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1"/>
    <col collapsed="false" customWidth="true" hidden="false" outlineLevel="0" max="3" min="3" style="1" width="24"/>
    <col collapsed="false" customWidth="true" hidden="false" outlineLevel="0" max="4" min="4" style="1" width="32"/>
    <col collapsed="false" customWidth="true" hidden="false" outlineLevel="0" max="5" min="5" style="1" width="24"/>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36"/>
  </cols>
  <sheetData>
    <row r="1" customFormat="false" ht="25.5" hidden="false" customHeight="true" outlineLevel="0" collapsed="false">
      <c r="A1" s="2" t="s">
        <v>439</v>
      </c>
    </row>
    <row r="2" customFormat="false" ht="15" hidden="false" customHeight="true" outlineLevel="0" collapsed="false">
      <c r="A2" s="3" t="s">
        <v>440</v>
      </c>
    </row>
    <row r="4" customFormat="false" ht="31.5" hidden="false" customHeight="true" outlineLevel="0" collapsed="false">
      <c r="A4" s="5" t="s">
        <v>441</v>
      </c>
      <c r="B4" s="5" t="s">
        <v>442</v>
      </c>
      <c r="C4" s="5" t="s">
        <v>443</v>
      </c>
      <c r="D4" s="5" t="s">
        <v>444</v>
      </c>
      <c r="E4" s="5" t="s">
        <v>445</v>
      </c>
      <c r="F4" s="5" t="s">
        <v>308</v>
      </c>
      <c r="G4" s="5" t="s">
        <v>75</v>
      </c>
      <c r="H4" s="5" t="s">
        <v>446</v>
      </c>
      <c r="I4" s="5" t="s">
        <v>76</v>
      </c>
    </row>
    <row r="5" customFormat="false" ht="15" hidden="false" customHeight="true" outlineLevel="0" collapsed="false">
      <c r="A5" s="6" t="s">
        <v>447</v>
      </c>
      <c r="B5" s="6" t="s">
        <v>448</v>
      </c>
      <c r="C5" s="6" t="s">
        <v>267</v>
      </c>
      <c r="D5" s="6" t="s">
        <v>449</v>
      </c>
      <c r="E5" s="6" t="s">
        <v>450</v>
      </c>
      <c r="F5" s="6" t="s">
        <v>38</v>
      </c>
      <c r="G5" s="19"/>
      <c r="H5" s="19"/>
      <c r="I5" s="19" t="s">
        <v>451</v>
      </c>
    </row>
    <row r="6" customFormat="false" ht="15" hidden="false" customHeight="true" outlineLevel="0" collapsed="false">
      <c r="A6" s="6" t="s">
        <v>452</v>
      </c>
      <c r="B6" s="6" t="s">
        <v>448</v>
      </c>
      <c r="C6" s="6" t="s">
        <v>267</v>
      </c>
      <c r="D6" s="6" t="s">
        <v>453</v>
      </c>
      <c r="E6" s="6" t="s">
        <v>450</v>
      </c>
      <c r="F6" s="6" t="s">
        <v>38</v>
      </c>
      <c r="G6" s="19"/>
      <c r="H6" s="19"/>
      <c r="I6" s="19"/>
    </row>
    <row r="7" customFormat="false" ht="15" hidden="false" customHeight="true" outlineLevel="0" collapsed="false">
      <c r="A7" s="6" t="s">
        <v>454</v>
      </c>
      <c r="B7" s="6" t="s">
        <v>448</v>
      </c>
      <c r="C7" s="6" t="s">
        <v>267</v>
      </c>
      <c r="D7" s="6" t="s">
        <v>455</v>
      </c>
      <c r="E7" s="6"/>
      <c r="F7" s="6" t="s">
        <v>38</v>
      </c>
      <c r="G7" s="19"/>
      <c r="H7" s="19"/>
      <c r="I7" s="19"/>
    </row>
    <row r="8" customFormat="false" ht="15" hidden="false" customHeight="true" outlineLevel="0" collapsed="false">
      <c r="A8" s="6" t="s">
        <v>456</v>
      </c>
      <c r="B8" s="6" t="s">
        <v>448</v>
      </c>
      <c r="C8" s="6" t="s">
        <v>267</v>
      </c>
      <c r="D8" s="6" t="s">
        <v>457</v>
      </c>
      <c r="E8" s="6" t="s">
        <v>458</v>
      </c>
      <c r="F8" s="6" t="s">
        <v>38</v>
      </c>
      <c r="G8" s="19"/>
      <c r="H8" s="19"/>
      <c r="I8" s="19" t="s">
        <v>459</v>
      </c>
    </row>
    <row r="9" customFormat="false" ht="15" hidden="false" customHeight="true" outlineLevel="0" collapsed="false">
      <c r="A9" s="6" t="s">
        <v>460</v>
      </c>
      <c r="B9" s="6" t="s">
        <v>286</v>
      </c>
      <c r="C9" s="6" t="s">
        <v>267</v>
      </c>
      <c r="D9" s="6" t="s">
        <v>461</v>
      </c>
      <c r="E9" s="6"/>
      <c r="F9" s="6" t="s">
        <v>38</v>
      </c>
      <c r="G9" s="19"/>
      <c r="H9" s="19"/>
      <c r="I9" s="19" t="s">
        <v>462</v>
      </c>
    </row>
    <row r="10" customFormat="false" ht="15" hidden="false" customHeight="true" outlineLevel="0" collapsed="false">
      <c r="A10" s="6" t="s">
        <v>463</v>
      </c>
      <c r="B10" s="6" t="s">
        <v>464</v>
      </c>
      <c r="C10" s="6" t="s">
        <v>267</v>
      </c>
      <c r="D10" s="6" t="s">
        <v>457</v>
      </c>
      <c r="E10" s="6" t="s">
        <v>465</v>
      </c>
      <c r="F10" s="6" t="s">
        <v>38</v>
      </c>
      <c r="G10" s="19"/>
      <c r="H10" s="19"/>
      <c r="I10" s="19" t="s">
        <v>466</v>
      </c>
    </row>
    <row r="11" customFormat="false" ht="15" hidden="false" customHeight="true" outlineLevel="0" collapsed="false">
      <c r="A11" s="6" t="s">
        <v>467</v>
      </c>
      <c r="B11" s="6" t="s">
        <v>464</v>
      </c>
      <c r="C11" s="6" t="s">
        <v>468</v>
      </c>
      <c r="D11" s="6" t="s">
        <v>457</v>
      </c>
      <c r="E11" s="6" t="s">
        <v>469</v>
      </c>
      <c r="F11" s="6" t="s">
        <v>38</v>
      </c>
      <c r="G11" s="19"/>
      <c r="H11" s="19"/>
      <c r="I11" s="19" t="s">
        <v>324</v>
      </c>
    </row>
    <row r="12" customFormat="false" ht="15" hidden="false" customHeight="true" outlineLevel="0" collapsed="false">
      <c r="A12" s="6" t="s">
        <v>470</v>
      </c>
      <c r="B12" s="6" t="s">
        <v>464</v>
      </c>
      <c r="C12" s="6" t="s">
        <v>468</v>
      </c>
      <c r="D12" s="6" t="s">
        <v>457</v>
      </c>
      <c r="E12" s="6" t="s">
        <v>471</v>
      </c>
      <c r="F12" s="6" t="s">
        <v>38</v>
      </c>
      <c r="G12" s="19"/>
      <c r="H12" s="19"/>
      <c r="I12" s="19" t="s">
        <v>472</v>
      </c>
    </row>
    <row r="13" customFormat="false" ht="15" hidden="false" customHeight="true" outlineLevel="0" collapsed="false">
      <c r="A13" s="6" t="s">
        <v>473</v>
      </c>
      <c r="B13" s="6" t="s">
        <v>464</v>
      </c>
      <c r="C13" s="6" t="s">
        <v>468</v>
      </c>
      <c r="D13" s="6" t="s">
        <v>457</v>
      </c>
      <c r="E13" s="6"/>
      <c r="F13" s="6" t="s">
        <v>38</v>
      </c>
      <c r="G13" s="19"/>
      <c r="H13" s="19"/>
      <c r="I13" s="19" t="s">
        <v>474</v>
      </c>
    </row>
    <row r="14" customFormat="false" ht="15" hidden="false" customHeight="true" outlineLevel="0" collapsed="false">
      <c r="A14" s="6" t="s">
        <v>475</v>
      </c>
      <c r="B14" s="6" t="s">
        <v>464</v>
      </c>
      <c r="C14" s="6" t="s">
        <v>476</v>
      </c>
      <c r="D14" s="6" t="s">
        <v>477</v>
      </c>
      <c r="E14" s="6"/>
      <c r="F14" s="6" t="s">
        <v>38</v>
      </c>
      <c r="G14" s="19"/>
      <c r="H14" s="19"/>
      <c r="I14" s="19" t="s">
        <v>478</v>
      </c>
    </row>
    <row r="15" customFormat="false" ht="23.25" hidden="false" customHeight="true" outlineLevel="0" collapsed="false">
      <c r="A15" s="6" t="s">
        <v>479</v>
      </c>
      <c r="B15" s="6" t="s">
        <v>480</v>
      </c>
      <c r="C15" s="6" t="s">
        <v>267</v>
      </c>
      <c r="D15" s="6" t="s">
        <v>481</v>
      </c>
      <c r="E15" s="6"/>
      <c r="F15" s="6" t="s">
        <v>38</v>
      </c>
      <c r="G15" s="19"/>
      <c r="H15" s="19"/>
      <c r="I15" s="19" t="s">
        <v>482</v>
      </c>
    </row>
    <row r="16" customFormat="false" ht="15" hidden="false" customHeight="true" outlineLevel="0" collapsed="false">
      <c r="A16" s="6" t="s">
        <v>483</v>
      </c>
      <c r="B16" s="6" t="s">
        <v>484</v>
      </c>
      <c r="C16" s="6" t="s">
        <v>485</v>
      </c>
      <c r="D16" s="6" t="s">
        <v>457</v>
      </c>
      <c r="E16" s="6"/>
      <c r="F16" s="6" t="s">
        <v>38</v>
      </c>
      <c r="G16" s="19"/>
      <c r="H16" s="19"/>
      <c r="I16" s="19" t="s">
        <v>486</v>
      </c>
    </row>
    <row r="17" customFormat="false" ht="15" hidden="false" customHeight="true" outlineLevel="0" collapsed="false">
      <c r="A17" s="6" t="s">
        <v>487</v>
      </c>
      <c r="B17" s="6" t="s">
        <v>484</v>
      </c>
      <c r="C17" s="6" t="s">
        <v>488</v>
      </c>
      <c r="D17" s="6" t="s">
        <v>457</v>
      </c>
      <c r="E17" s="6"/>
      <c r="F17" s="6" t="s">
        <v>38</v>
      </c>
      <c r="G17" s="19"/>
      <c r="H17" s="19"/>
      <c r="I17" s="19" t="s">
        <v>489</v>
      </c>
    </row>
    <row r="18" customFormat="false" ht="15" hidden="false" customHeight="true" outlineLevel="0" collapsed="false">
      <c r="A18" s="6" t="s">
        <v>490</v>
      </c>
      <c r="B18" s="6" t="s">
        <v>484</v>
      </c>
      <c r="C18" s="6" t="s">
        <v>488</v>
      </c>
      <c r="D18" s="6" t="s">
        <v>457</v>
      </c>
      <c r="E18" s="6" t="s">
        <v>491</v>
      </c>
      <c r="F18" s="6" t="s">
        <v>38</v>
      </c>
      <c r="G18" s="19"/>
      <c r="H18" s="19"/>
      <c r="I18" s="19" t="s">
        <v>492</v>
      </c>
    </row>
    <row r="19" customFormat="false" ht="15" hidden="false" customHeight="true" outlineLevel="0" collapsed="false">
      <c r="A19" s="6" t="s">
        <v>493</v>
      </c>
      <c r="B19" s="6" t="s">
        <v>494</v>
      </c>
      <c r="C19" s="6" t="s">
        <v>267</v>
      </c>
      <c r="D19" s="6" t="s">
        <v>457</v>
      </c>
      <c r="E19" s="6" t="s">
        <v>465</v>
      </c>
      <c r="F19" s="6" t="s">
        <v>38</v>
      </c>
      <c r="G19" s="19"/>
      <c r="H19" s="19"/>
      <c r="I19" s="19" t="s">
        <v>495</v>
      </c>
    </row>
    <row r="20" customFormat="false" ht="15" hidden="false" customHeight="true" outlineLevel="0" collapsed="false">
      <c r="A20" s="6" t="s">
        <v>496</v>
      </c>
      <c r="B20" s="6" t="s">
        <v>494</v>
      </c>
      <c r="C20" s="6" t="s">
        <v>468</v>
      </c>
      <c r="D20" s="6" t="s">
        <v>497</v>
      </c>
      <c r="E20" s="6" t="s">
        <v>450</v>
      </c>
      <c r="F20" s="6" t="s">
        <v>38</v>
      </c>
      <c r="G20" s="19"/>
      <c r="H20" s="19"/>
      <c r="I20" s="19"/>
    </row>
    <row r="21" customFormat="false" ht="15" hidden="false" customHeight="true" outlineLevel="0" collapsed="false">
      <c r="A21" s="6" t="s">
        <v>498</v>
      </c>
      <c r="B21" s="6" t="s">
        <v>499</v>
      </c>
      <c r="C21" s="6" t="s">
        <v>500</v>
      </c>
      <c r="D21" s="6" t="s">
        <v>501</v>
      </c>
      <c r="E21" s="6" t="s">
        <v>502</v>
      </c>
      <c r="F21" s="6" t="s">
        <v>39</v>
      </c>
      <c r="G21" s="19"/>
      <c r="H21" s="19"/>
      <c r="I21" s="19" t="s">
        <v>503</v>
      </c>
    </row>
    <row r="22" customFormat="false" ht="15" hidden="false" customHeight="true" outlineLevel="0" collapsed="false">
      <c r="A22" s="6" t="s">
        <v>504</v>
      </c>
      <c r="B22" s="6" t="s">
        <v>286</v>
      </c>
      <c r="C22" s="6" t="s">
        <v>505</v>
      </c>
      <c r="D22" s="6" t="s">
        <v>506</v>
      </c>
      <c r="E22" s="6" t="s">
        <v>507</v>
      </c>
      <c r="F22" s="6" t="s">
        <v>38</v>
      </c>
      <c r="G22" s="19"/>
      <c r="H22" s="19"/>
      <c r="I22" s="19" t="s">
        <v>508</v>
      </c>
    </row>
    <row r="23" customFormat="false" ht="15" hidden="false" customHeight="true" outlineLevel="0" collapsed="false">
      <c r="A23" s="6" t="s">
        <v>509</v>
      </c>
      <c r="B23" s="6" t="s">
        <v>286</v>
      </c>
      <c r="C23" s="6" t="s">
        <v>488</v>
      </c>
      <c r="D23" s="6" t="s">
        <v>506</v>
      </c>
      <c r="E23" s="6" t="s">
        <v>507</v>
      </c>
      <c r="F23" s="6" t="s">
        <v>38</v>
      </c>
      <c r="G23" s="19"/>
      <c r="H23" s="19"/>
      <c r="I23" s="19" t="s">
        <v>510</v>
      </c>
    </row>
    <row r="24" customFormat="false" ht="15" hidden="false" customHeight="true" outlineLevel="0" collapsed="false">
      <c r="A24" s="6" t="s">
        <v>511</v>
      </c>
      <c r="B24" s="6" t="s">
        <v>286</v>
      </c>
      <c r="C24" s="6" t="s">
        <v>488</v>
      </c>
      <c r="D24" s="6" t="s">
        <v>512</v>
      </c>
      <c r="E24" s="6" t="s">
        <v>507</v>
      </c>
      <c r="F24" s="6" t="s">
        <v>38</v>
      </c>
      <c r="G24" s="19"/>
      <c r="H24" s="19"/>
      <c r="I24" s="19" t="s">
        <v>513</v>
      </c>
    </row>
    <row r="25" customFormat="false" ht="15" hidden="false" customHeight="true" outlineLevel="0" collapsed="false">
      <c r="A25" s="6" t="s">
        <v>514</v>
      </c>
      <c r="B25" s="6" t="s">
        <v>515</v>
      </c>
      <c r="C25" s="6" t="s">
        <v>516</v>
      </c>
      <c r="D25" s="6" t="s">
        <v>517</v>
      </c>
      <c r="E25" s="6"/>
      <c r="F25" s="6" t="s">
        <v>38</v>
      </c>
      <c r="G25" s="19"/>
      <c r="H25" s="19"/>
      <c r="I25" s="19" t="s">
        <v>518</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44"/>
    <col collapsed="false" customWidth="true" hidden="false" outlineLevel="0" max="4" min="4" style="1" width="26"/>
    <col collapsed="false" customWidth="true" hidden="false" outlineLevel="0" max="5" min="5" style="1" width="14"/>
    <col collapsed="false" customWidth="true" hidden="false" outlineLevel="0" max="6" min="6" style="1" width="12"/>
    <col collapsed="false" customWidth="true" hidden="false" outlineLevel="0" max="7" min="7" style="1" width="40"/>
  </cols>
  <sheetData>
    <row r="1" customFormat="false" ht="25.5" hidden="false" customHeight="true" outlineLevel="0" collapsed="false">
      <c r="A1" s="2" t="s">
        <v>519</v>
      </c>
    </row>
    <row r="2" customFormat="false" ht="15" hidden="false" customHeight="true" outlineLevel="0" collapsed="false">
      <c r="A2" s="3" t="s">
        <v>520</v>
      </c>
    </row>
    <row r="4" customFormat="false" ht="31.5" hidden="false" customHeight="true" outlineLevel="0" collapsed="false">
      <c r="A4" s="5" t="s">
        <v>521</v>
      </c>
      <c r="B4" s="5" t="s">
        <v>522</v>
      </c>
      <c r="C4" s="5" t="s">
        <v>523</v>
      </c>
      <c r="D4" s="5" t="s">
        <v>524</v>
      </c>
      <c r="E4" s="5" t="s">
        <v>525</v>
      </c>
      <c r="F4" s="5" t="s">
        <v>526</v>
      </c>
      <c r="G4" s="5" t="s">
        <v>76</v>
      </c>
    </row>
    <row r="5" customFormat="false" ht="15" hidden="false" customHeight="true" outlineLevel="0" collapsed="false">
      <c r="A5" s="6" t="s">
        <v>527</v>
      </c>
      <c r="B5" s="6" t="s">
        <v>528</v>
      </c>
      <c r="C5" s="6" t="s">
        <v>529</v>
      </c>
      <c r="D5" s="6" t="s">
        <v>530</v>
      </c>
      <c r="E5" s="6" t="s">
        <v>531</v>
      </c>
      <c r="F5" s="6" t="s">
        <v>38</v>
      </c>
      <c r="G5" s="19" t="s">
        <v>532</v>
      </c>
    </row>
    <row r="6" customFormat="false" ht="15" hidden="false" customHeight="true" outlineLevel="0" collapsed="false">
      <c r="A6" s="6" t="s">
        <v>533</v>
      </c>
      <c r="B6" s="6" t="s">
        <v>528</v>
      </c>
      <c r="C6" s="6" t="s">
        <v>534</v>
      </c>
      <c r="D6" s="6" t="s">
        <v>535</v>
      </c>
      <c r="E6" s="6" t="s">
        <v>531</v>
      </c>
      <c r="F6" s="6" t="s">
        <v>38</v>
      </c>
      <c r="G6" s="19" t="s">
        <v>536</v>
      </c>
    </row>
    <row r="7" customFormat="false" ht="15" hidden="false" customHeight="true" outlineLevel="0" collapsed="false">
      <c r="A7" s="6" t="s">
        <v>537</v>
      </c>
      <c r="B7" s="6" t="s">
        <v>528</v>
      </c>
      <c r="C7" s="6" t="s">
        <v>538</v>
      </c>
      <c r="D7" s="6" t="s">
        <v>539</v>
      </c>
      <c r="E7" s="6" t="s">
        <v>540</v>
      </c>
      <c r="F7" s="6" t="s">
        <v>38</v>
      </c>
      <c r="G7" s="19"/>
    </row>
    <row r="8" customFormat="false" ht="15" hidden="false" customHeight="true" outlineLevel="0" collapsed="false">
      <c r="A8" s="6" t="s">
        <v>541</v>
      </c>
      <c r="B8" s="6" t="s">
        <v>528</v>
      </c>
      <c r="C8" s="6" t="s">
        <v>542</v>
      </c>
      <c r="D8" s="6" t="s">
        <v>543</v>
      </c>
      <c r="E8" s="6" t="s">
        <v>544</v>
      </c>
      <c r="F8" s="6" t="s">
        <v>38</v>
      </c>
      <c r="G8" s="19"/>
    </row>
    <row r="9" customFormat="false" ht="15" hidden="false" customHeight="true" outlineLevel="0" collapsed="false">
      <c r="A9" s="6" t="s">
        <v>545</v>
      </c>
      <c r="B9" s="6" t="s">
        <v>528</v>
      </c>
      <c r="C9" s="6" t="s">
        <v>546</v>
      </c>
      <c r="D9" s="6" t="s">
        <v>547</v>
      </c>
      <c r="E9" s="6" t="s">
        <v>548</v>
      </c>
      <c r="F9" s="6" t="s">
        <v>38</v>
      </c>
      <c r="G9" s="19"/>
    </row>
    <row r="10" customFormat="false" ht="15" hidden="false" customHeight="true" outlineLevel="0" collapsed="false">
      <c r="A10" s="6" t="s">
        <v>549</v>
      </c>
      <c r="B10" s="6" t="s">
        <v>528</v>
      </c>
      <c r="C10" s="6" t="s">
        <v>550</v>
      </c>
      <c r="D10" s="6" t="s">
        <v>551</v>
      </c>
      <c r="E10" s="6" t="s">
        <v>552</v>
      </c>
      <c r="F10" s="6" t="s">
        <v>38</v>
      </c>
      <c r="G10" s="19"/>
    </row>
    <row r="11" customFormat="false" ht="15" hidden="false" customHeight="true" outlineLevel="0" collapsed="false">
      <c r="A11" s="6" t="s">
        <v>553</v>
      </c>
      <c r="B11" s="6" t="s">
        <v>528</v>
      </c>
      <c r="C11" s="6" t="s">
        <v>554</v>
      </c>
      <c r="D11" s="6" t="s">
        <v>555</v>
      </c>
      <c r="E11" s="6" t="s">
        <v>552</v>
      </c>
      <c r="F11" s="6" t="s">
        <v>38</v>
      </c>
      <c r="G11" s="19" t="s">
        <v>556</v>
      </c>
    </row>
    <row r="12" customFormat="false" ht="15" hidden="false" customHeight="true" outlineLevel="0" collapsed="false">
      <c r="A12" s="6" t="s">
        <v>557</v>
      </c>
      <c r="B12" s="6" t="s">
        <v>528</v>
      </c>
      <c r="C12" s="6" t="s">
        <v>558</v>
      </c>
      <c r="D12" s="6" t="s">
        <v>559</v>
      </c>
      <c r="E12" s="6" t="s">
        <v>544</v>
      </c>
      <c r="F12" s="6" t="s">
        <v>38</v>
      </c>
      <c r="G12" s="19"/>
    </row>
    <row r="13" customFormat="false" ht="15" hidden="false" customHeight="true" outlineLevel="0" collapsed="false">
      <c r="A13" s="6" t="s">
        <v>560</v>
      </c>
      <c r="B13" s="6" t="s">
        <v>528</v>
      </c>
      <c r="C13" s="6" t="s">
        <v>561</v>
      </c>
      <c r="D13" s="6" t="s">
        <v>562</v>
      </c>
      <c r="E13" s="6" t="s">
        <v>548</v>
      </c>
      <c r="F13" s="6" t="s">
        <v>38</v>
      </c>
      <c r="G13" s="19"/>
    </row>
    <row r="14" customFormat="false" ht="15" hidden="false" customHeight="true" outlineLevel="0" collapsed="false">
      <c r="A14" s="6" t="s">
        <v>563</v>
      </c>
      <c r="B14" s="6" t="s">
        <v>528</v>
      </c>
      <c r="C14" s="6" t="s">
        <v>564</v>
      </c>
      <c r="D14" s="6" t="s">
        <v>565</v>
      </c>
      <c r="E14" s="6" t="s">
        <v>566</v>
      </c>
      <c r="F14" s="6" t="s">
        <v>38</v>
      </c>
      <c r="G14" s="19"/>
    </row>
    <row r="15" customFormat="false" ht="15" hidden="false" customHeight="true" outlineLevel="0" collapsed="false">
      <c r="A15" s="6" t="s">
        <v>567</v>
      </c>
      <c r="B15" s="6" t="s">
        <v>528</v>
      </c>
      <c r="C15" s="6" t="s">
        <v>568</v>
      </c>
      <c r="D15" s="6" t="s">
        <v>565</v>
      </c>
      <c r="E15" s="6" t="s">
        <v>548</v>
      </c>
      <c r="F15" s="6" t="s">
        <v>38</v>
      </c>
      <c r="G15" s="19"/>
    </row>
    <row r="16" customFormat="false" ht="15" hidden="false" customHeight="true" outlineLevel="0" collapsed="false">
      <c r="A16" s="6" t="s">
        <v>569</v>
      </c>
      <c r="B16" s="6" t="s">
        <v>528</v>
      </c>
      <c r="C16" s="6" t="s">
        <v>570</v>
      </c>
      <c r="D16" s="6" t="s">
        <v>551</v>
      </c>
      <c r="E16" s="6" t="s">
        <v>540</v>
      </c>
      <c r="F16" s="6" t="s">
        <v>38</v>
      </c>
      <c r="G16" s="19"/>
    </row>
    <row r="17" customFormat="false" ht="15" hidden="false" customHeight="true" outlineLevel="0" collapsed="false">
      <c r="A17" s="6" t="s">
        <v>571</v>
      </c>
      <c r="B17" s="6" t="s">
        <v>528</v>
      </c>
      <c r="C17" s="6" t="s">
        <v>572</v>
      </c>
      <c r="D17" s="6" t="s">
        <v>555</v>
      </c>
      <c r="E17" s="6" t="s">
        <v>573</v>
      </c>
      <c r="F17" s="6" t="s">
        <v>38</v>
      </c>
      <c r="G17" s="19"/>
    </row>
    <row r="18" customFormat="false" ht="15" hidden="false" customHeight="true" outlineLevel="0" collapsed="false">
      <c r="A18" s="6" t="s">
        <v>574</v>
      </c>
      <c r="B18" s="6" t="s">
        <v>528</v>
      </c>
      <c r="C18" s="6" t="s">
        <v>575</v>
      </c>
      <c r="D18" s="6" t="s">
        <v>576</v>
      </c>
      <c r="E18" s="6" t="s">
        <v>531</v>
      </c>
      <c r="F18" s="6" t="s">
        <v>38</v>
      </c>
      <c r="G18" s="19" t="s">
        <v>577</v>
      </c>
    </row>
    <row r="19" customFormat="false" ht="15" hidden="false" customHeight="true" outlineLevel="0" collapsed="false">
      <c r="A19" s="6" t="s">
        <v>578</v>
      </c>
      <c r="B19" s="6" t="s">
        <v>528</v>
      </c>
      <c r="C19" s="6" t="s">
        <v>579</v>
      </c>
      <c r="D19" s="6" t="s">
        <v>580</v>
      </c>
      <c r="E19" s="6" t="s">
        <v>531</v>
      </c>
      <c r="F19" s="6" t="s">
        <v>38</v>
      </c>
      <c r="G19" s="19" t="s">
        <v>581</v>
      </c>
    </row>
    <row r="20" customFormat="false" ht="15" hidden="false" customHeight="true" outlineLevel="0" collapsed="false">
      <c r="A20" s="6" t="s">
        <v>582</v>
      </c>
      <c r="B20" s="6" t="s">
        <v>528</v>
      </c>
      <c r="C20" s="6" t="s">
        <v>583</v>
      </c>
      <c r="D20" s="6" t="s">
        <v>584</v>
      </c>
      <c r="E20" s="6" t="s">
        <v>552</v>
      </c>
      <c r="F20" s="6" t="s">
        <v>38</v>
      </c>
      <c r="G20" s="19"/>
    </row>
    <row r="21" customFormat="false" ht="15" hidden="false" customHeight="true" outlineLevel="0" collapsed="false">
      <c r="A21" s="6" t="s">
        <v>585</v>
      </c>
      <c r="B21" s="6" t="s">
        <v>528</v>
      </c>
      <c r="C21" s="6" t="s">
        <v>586</v>
      </c>
      <c r="D21" s="6" t="s">
        <v>587</v>
      </c>
      <c r="E21" s="6" t="s">
        <v>588</v>
      </c>
      <c r="F21" s="6" t="s">
        <v>38</v>
      </c>
      <c r="G21" s="19" t="s">
        <v>589</v>
      </c>
    </row>
    <row r="22" customFormat="false" ht="15" hidden="false" customHeight="true" outlineLevel="0" collapsed="false">
      <c r="A22" s="6" t="s">
        <v>590</v>
      </c>
      <c r="B22" s="6" t="s">
        <v>591</v>
      </c>
      <c r="C22" s="6" t="s">
        <v>592</v>
      </c>
      <c r="D22" s="6" t="s">
        <v>593</v>
      </c>
      <c r="E22" s="6" t="s">
        <v>594</v>
      </c>
      <c r="F22" s="6" t="s">
        <v>38</v>
      </c>
      <c r="G22" s="19"/>
    </row>
    <row r="23" customFormat="false" ht="15" hidden="false" customHeight="true" outlineLevel="0" collapsed="false">
      <c r="A23" s="6" t="s">
        <v>595</v>
      </c>
      <c r="B23" s="6" t="s">
        <v>591</v>
      </c>
      <c r="C23" s="6" t="s">
        <v>596</v>
      </c>
      <c r="D23" s="6" t="s">
        <v>593</v>
      </c>
      <c r="E23" s="6" t="s">
        <v>594</v>
      </c>
      <c r="F23" s="6" t="s">
        <v>38</v>
      </c>
      <c r="G23" s="19"/>
    </row>
    <row r="24" customFormat="false" ht="15" hidden="false" customHeight="true" outlineLevel="0" collapsed="false">
      <c r="A24" s="6" t="s">
        <v>597</v>
      </c>
      <c r="B24" s="6" t="s">
        <v>591</v>
      </c>
      <c r="C24" s="6" t="s">
        <v>598</v>
      </c>
      <c r="D24" s="6" t="s">
        <v>593</v>
      </c>
      <c r="E24" s="6" t="s">
        <v>599</v>
      </c>
      <c r="F24" s="6" t="s">
        <v>38</v>
      </c>
      <c r="G24" s="19"/>
    </row>
    <row r="25" customFormat="false" ht="15" hidden="false" customHeight="true" outlineLevel="0" collapsed="false">
      <c r="A25" s="6" t="s">
        <v>600</v>
      </c>
      <c r="B25" s="6" t="s">
        <v>591</v>
      </c>
      <c r="C25" s="6" t="s">
        <v>601</v>
      </c>
      <c r="D25" s="6" t="s">
        <v>602</v>
      </c>
      <c r="E25" s="6" t="s">
        <v>594</v>
      </c>
      <c r="F25" s="6" t="s">
        <v>38</v>
      </c>
      <c r="G25" s="19"/>
    </row>
    <row r="26" customFormat="false" ht="15" hidden="false" customHeight="true" outlineLevel="0" collapsed="false">
      <c r="A26" s="6" t="s">
        <v>603</v>
      </c>
      <c r="B26" s="6" t="s">
        <v>591</v>
      </c>
      <c r="C26" s="6" t="s">
        <v>604</v>
      </c>
      <c r="D26" s="6" t="s">
        <v>605</v>
      </c>
      <c r="E26" s="6" t="s">
        <v>599</v>
      </c>
      <c r="F26" s="6" t="s">
        <v>38</v>
      </c>
      <c r="G26" s="19"/>
    </row>
    <row r="27" customFormat="false" ht="15" hidden="false" customHeight="true" outlineLevel="0" collapsed="false">
      <c r="A27" s="6" t="s">
        <v>606</v>
      </c>
      <c r="B27" s="6" t="s">
        <v>607</v>
      </c>
      <c r="C27" s="6" t="s">
        <v>608</v>
      </c>
      <c r="D27" s="6" t="s">
        <v>608</v>
      </c>
      <c r="E27" s="6" t="s">
        <v>608</v>
      </c>
      <c r="F27" s="6" t="s">
        <v>43</v>
      </c>
      <c r="G27" s="19" t="s">
        <v>609</v>
      </c>
    </row>
    <row r="28" customFormat="false" ht="15" hidden="false" customHeight="true" outlineLevel="0" collapsed="false">
      <c r="A28" s="6" t="s">
        <v>610</v>
      </c>
      <c r="B28" s="6" t="s">
        <v>607</v>
      </c>
      <c r="C28" s="6" t="s">
        <v>608</v>
      </c>
      <c r="D28" s="6" t="s">
        <v>608</v>
      </c>
      <c r="E28" s="6" t="s">
        <v>608</v>
      </c>
      <c r="F28" s="6" t="s">
        <v>43</v>
      </c>
      <c r="G28" s="19" t="s">
        <v>611</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6"/>
    <col collapsed="false" customWidth="true" hidden="false" outlineLevel="0" max="4" min="4" style="1" width="9"/>
    <col collapsed="false" customWidth="true" hidden="false" outlineLevel="0" max="6" min="5" style="1" width="12"/>
    <col collapsed="false" customWidth="true" hidden="false" outlineLevel="0" max="7" min="7" style="1" width="11"/>
    <col collapsed="false" customWidth="true" hidden="false" outlineLevel="0" max="8" min="8" style="1" width="13"/>
    <col collapsed="false" customWidth="true" hidden="false" outlineLevel="0" max="9" min="9" style="1" width="14"/>
    <col collapsed="false" customWidth="true" hidden="false" outlineLevel="0" max="10" min="10" style="1" width="62"/>
  </cols>
  <sheetData>
    <row r="1" customFormat="false" ht="25.5" hidden="false" customHeight="true" outlineLevel="0" collapsed="false">
      <c r="A1" s="2" t="s">
        <v>612</v>
      </c>
    </row>
    <row r="2" customFormat="false" ht="15" hidden="false" customHeight="true" outlineLevel="0" collapsed="false">
      <c r="A2" s="3" t="s">
        <v>613</v>
      </c>
    </row>
    <row r="4" customFormat="false" ht="31.5" hidden="false" customHeight="true" outlineLevel="0" collapsed="false">
      <c r="A4" s="5" t="s">
        <v>614</v>
      </c>
      <c r="B4" s="5" t="s">
        <v>615</v>
      </c>
      <c r="C4" s="5" t="s">
        <v>616</v>
      </c>
      <c r="D4" s="5" t="s">
        <v>617</v>
      </c>
      <c r="E4" s="5" t="s">
        <v>618</v>
      </c>
      <c r="F4" s="5" t="s">
        <v>619</v>
      </c>
    </row>
    <row r="5" customFormat="false" ht="57" hidden="false" customHeight="true" outlineLevel="0" collapsed="false">
      <c r="A5" s="6" t="n">
        <v>1</v>
      </c>
      <c r="B5" s="6" t="s">
        <v>620</v>
      </c>
      <c r="C5" s="6" t="s">
        <v>621</v>
      </c>
      <c r="D5" s="6" t="s">
        <v>622</v>
      </c>
      <c r="E5" s="6" t="s">
        <v>623</v>
      </c>
      <c r="F5" s="6" t="s">
        <v>624</v>
      </c>
    </row>
    <row r="6" customFormat="false" ht="79.5" hidden="false" customHeight="true" outlineLevel="0" collapsed="false">
      <c r="A6" s="6" t="n">
        <v>2</v>
      </c>
      <c r="B6" s="6" t="s">
        <v>625</v>
      </c>
      <c r="C6" s="6" t="s">
        <v>626</v>
      </c>
      <c r="D6" s="6" t="s">
        <v>627</v>
      </c>
      <c r="E6" s="6" t="s">
        <v>628</v>
      </c>
      <c r="F6" s="6" t="s">
        <v>629</v>
      </c>
    </row>
    <row r="7" customFormat="false" ht="68.25" hidden="false" customHeight="true" outlineLevel="0" collapsed="false">
      <c r="A7" s="6" t="n">
        <v>3</v>
      </c>
      <c r="B7" s="6" t="s">
        <v>630</v>
      </c>
      <c r="C7" s="6" t="s">
        <v>631</v>
      </c>
      <c r="D7" s="6" t="s">
        <v>632</v>
      </c>
      <c r="E7" s="6" t="s">
        <v>633</v>
      </c>
      <c r="F7" s="6" t="s">
        <v>634</v>
      </c>
    </row>
    <row r="8" customFormat="false" ht="79.5" hidden="false" customHeight="true" outlineLevel="0" collapsed="false">
      <c r="A8" s="6" t="n">
        <v>4</v>
      </c>
      <c r="B8" s="6" t="s">
        <v>220</v>
      </c>
      <c r="C8" s="6" t="s">
        <v>635</v>
      </c>
      <c r="D8" s="6" t="s">
        <v>636</v>
      </c>
      <c r="E8" s="6" t="s">
        <v>637</v>
      </c>
      <c r="F8" s="6" t="s">
        <v>638</v>
      </c>
    </row>
    <row r="9" customFormat="false" ht="79.5" hidden="false" customHeight="true" outlineLevel="0" collapsed="false">
      <c r="A9" s="6" t="n">
        <v>5</v>
      </c>
      <c r="B9" s="6" t="s">
        <v>639</v>
      </c>
      <c r="C9" s="6" t="s">
        <v>640</v>
      </c>
      <c r="D9" s="6" t="s">
        <v>641</v>
      </c>
      <c r="E9" s="6" t="s">
        <v>642</v>
      </c>
      <c r="F9" s="6" t="s">
        <v>638</v>
      </c>
    </row>
    <row r="10" customFormat="false" ht="57" hidden="false" customHeight="true" outlineLevel="0" collapsed="false">
      <c r="A10" s="6" t="n">
        <v>6</v>
      </c>
      <c r="B10" s="6" t="s">
        <v>209</v>
      </c>
      <c r="C10" s="6" t="s">
        <v>643</v>
      </c>
      <c r="D10" s="6" t="s">
        <v>644</v>
      </c>
      <c r="E10" s="6" t="s">
        <v>645</v>
      </c>
      <c r="F10" s="6" t="s">
        <v>646</v>
      </c>
    </row>
    <row r="11" customFormat="false" ht="57" hidden="false" customHeight="true" outlineLevel="0" collapsed="false">
      <c r="A11" s="6" t="n">
        <v>7</v>
      </c>
      <c r="B11" s="6" t="s">
        <v>647</v>
      </c>
      <c r="C11" s="6" t="s">
        <v>648</v>
      </c>
      <c r="D11" s="6" t="s">
        <v>649</v>
      </c>
      <c r="E11" s="6" t="s">
        <v>650</v>
      </c>
      <c r="F11" s="6" t="s">
        <v>651</v>
      </c>
    </row>
    <row r="12" customFormat="false" ht="90.75" hidden="false" customHeight="true" outlineLevel="0" collapsed="false">
      <c r="A12" s="6" t="n">
        <v>8</v>
      </c>
      <c r="B12" s="6" t="s">
        <v>652</v>
      </c>
      <c r="C12" s="6" t="s">
        <v>653</v>
      </c>
      <c r="D12" s="6" t="s">
        <v>654</v>
      </c>
      <c r="E12" s="6" t="s">
        <v>655</v>
      </c>
      <c r="F12" s="6" t="s">
        <v>651</v>
      </c>
    </row>
    <row r="13" customFormat="false" ht="79.5" hidden="false" customHeight="true" outlineLevel="0" collapsed="false">
      <c r="A13" s="6" t="n">
        <v>9</v>
      </c>
      <c r="B13" s="6" t="s">
        <v>656</v>
      </c>
      <c r="C13" s="6" t="s">
        <v>657</v>
      </c>
      <c r="D13" s="6" t="s">
        <v>658</v>
      </c>
      <c r="E13" s="6" t="s">
        <v>659</v>
      </c>
      <c r="F13" s="6" t="s">
        <v>660</v>
      </c>
    </row>
    <row r="14" customFormat="false" ht="45.75" hidden="false" customHeight="true" outlineLevel="0" collapsed="false">
      <c r="A14" s="6" t="n">
        <v>10</v>
      </c>
      <c r="B14" s="6" t="s">
        <v>661</v>
      </c>
      <c r="C14" s="20" t="s">
        <v>662</v>
      </c>
      <c r="D14" s="6" t="s">
        <v>663</v>
      </c>
      <c r="E14" s="6" t="s">
        <v>664</v>
      </c>
      <c r="F14" s="6" t="s">
        <v>665</v>
      </c>
    </row>
    <row r="16" customFormat="false" ht="15" hidden="false" customHeight="true" outlineLevel="0" collapsed="false">
      <c r="A16" s="21" t="s">
        <v>666</v>
      </c>
    </row>
    <row r="17" customFormat="false" ht="15" hidden="false" customHeight="true" outlineLevel="0" collapsed="false">
      <c r="A17" s="7" t="s">
        <v>667</v>
      </c>
      <c r="B17" s="22" t="n">
        <v>0.065</v>
      </c>
    </row>
    <row r="18" customFormat="false" ht="15" hidden="false" customHeight="true" outlineLevel="0" collapsed="false">
      <c r="A18" s="7" t="s">
        <v>668</v>
      </c>
      <c r="B18" s="22" t="n">
        <v>0.013</v>
      </c>
    </row>
    <row r="19" customFormat="false" ht="15" hidden="false" customHeight="true" outlineLevel="0" collapsed="false">
      <c r="A19" s="7" t="s">
        <v>669</v>
      </c>
      <c r="B19" s="22" t="n">
        <v>0.0033</v>
      </c>
    </row>
    <row r="20" customFormat="false" ht="15" hidden="false" customHeight="true" outlineLevel="0" collapsed="false">
      <c r="A20" s="17" t="s">
        <v>670</v>
      </c>
    </row>
    <row r="22" customFormat="false" ht="15" hidden="false" customHeight="true" outlineLevel="0" collapsed="false">
      <c r="A22" s="4" t="s">
        <v>671</v>
      </c>
    </row>
    <row r="23" customFormat="false" ht="31.5" hidden="false" customHeight="true" outlineLevel="0" collapsed="false">
      <c r="A23" s="5" t="s">
        <v>672</v>
      </c>
      <c r="B23" s="5" t="s">
        <v>3</v>
      </c>
      <c r="C23" s="5" t="s">
        <v>614</v>
      </c>
      <c r="D23" s="5" t="s">
        <v>673</v>
      </c>
      <c r="E23" s="5" t="s">
        <v>674</v>
      </c>
      <c r="F23" s="5" t="s">
        <v>675</v>
      </c>
      <c r="G23" s="5" t="s">
        <v>676</v>
      </c>
      <c r="H23" s="5" t="s">
        <v>677</v>
      </c>
      <c r="I23" s="5" t="s">
        <v>678</v>
      </c>
      <c r="J23" s="5" t="s">
        <v>679</v>
      </c>
    </row>
    <row r="24" customFormat="false" ht="15" hidden="false" customHeight="true" outlineLevel="0" collapsed="false">
      <c r="A24" s="6" t="s">
        <v>680</v>
      </c>
      <c r="B24" s="6" t="s">
        <v>12</v>
      </c>
      <c r="C24" s="6" t="s">
        <v>681</v>
      </c>
      <c r="D24" s="23" t="n">
        <v>1</v>
      </c>
      <c r="E24" s="23" t="n">
        <v>9</v>
      </c>
      <c r="F24" s="6" t="n">
        <f aca="false">D24*E24</f>
        <v>9</v>
      </c>
      <c r="G24" s="24" t="n">
        <f aca="false">F24*$B$17</f>
        <v>0.585</v>
      </c>
      <c r="H24" s="24" t="n">
        <f aca="false">F24*$B$18</f>
        <v>0.117</v>
      </c>
      <c r="I24" s="24" t="n">
        <f aca="false">F24*$B$19</f>
        <v>0.0297</v>
      </c>
      <c r="J24" s="6" t="s">
        <v>682</v>
      </c>
    </row>
    <row r="25" customFormat="false" ht="15" hidden="false" customHeight="true" outlineLevel="0" collapsed="false">
      <c r="A25" s="6" t="s">
        <v>683</v>
      </c>
      <c r="B25" s="6" t="s">
        <v>12</v>
      </c>
      <c r="C25" s="6" t="s">
        <v>681</v>
      </c>
      <c r="D25" s="23" t="n">
        <v>7</v>
      </c>
      <c r="E25" s="23" t="n">
        <v>3.5</v>
      </c>
      <c r="F25" s="6" t="n">
        <f aca="false">D25*E25</f>
        <v>24.5</v>
      </c>
      <c r="G25" s="24" t="n">
        <f aca="false">F25*$B$17</f>
        <v>1.5925</v>
      </c>
      <c r="H25" s="24" t="n">
        <f aca="false">F25*$B$18</f>
        <v>0.3185</v>
      </c>
      <c r="I25" s="24" t="n">
        <f aca="false">F25*$B$19</f>
        <v>0.08085</v>
      </c>
      <c r="J25" s="6" t="s">
        <v>684</v>
      </c>
    </row>
    <row r="26" customFormat="false" ht="15" hidden="false" customHeight="true" outlineLevel="0" collapsed="false">
      <c r="A26" s="6" t="s">
        <v>685</v>
      </c>
      <c r="B26" s="6" t="s">
        <v>16</v>
      </c>
      <c r="C26" s="6" t="s">
        <v>686</v>
      </c>
      <c r="D26" s="23" t="n">
        <v>1</v>
      </c>
      <c r="E26" s="23" t="n">
        <v>9</v>
      </c>
      <c r="F26" s="6" t="n">
        <f aca="false">D26*E26</f>
        <v>9</v>
      </c>
      <c r="G26" s="24" t="n">
        <f aca="false">F26*$B$17</f>
        <v>0.585</v>
      </c>
      <c r="H26" s="24" t="n">
        <f aca="false">F26*$B$18</f>
        <v>0.117</v>
      </c>
      <c r="I26" s="24" t="n">
        <f aca="false">F26*$B$19</f>
        <v>0.0297</v>
      </c>
      <c r="J26" s="6" t="s">
        <v>687</v>
      </c>
    </row>
    <row r="27" customFormat="false" ht="15" hidden="false" customHeight="true" outlineLevel="0" collapsed="false">
      <c r="A27" s="6" t="s">
        <v>688</v>
      </c>
      <c r="B27" s="6" t="s">
        <v>16</v>
      </c>
      <c r="C27" s="6" t="s">
        <v>686</v>
      </c>
      <c r="D27" s="23" t="n">
        <v>7</v>
      </c>
      <c r="E27" s="23" t="n">
        <v>3.5</v>
      </c>
      <c r="F27" s="6" t="n">
        <f aca="false">D27*E27</f>
        <v>24.5</v>
      </c>
      <c r="G27" s="24" t="n">
        <f aca="false">F27*$B$17</f>
        <v>1.5925</v>
      </c>
      <c r="H27" s="24" t="n">
        <f aca="false">F27*$B$18</f>
        <v>0.3185</v>
      </c>
      <c r="I27" s="24" t="n">
        <f aca="false">F27*$B$19</f>
        <v>0.08085</v>
      </c>
      <c r="J27" s="6" t="s">
        <v>689</v>
      </c>
    </row>
    <row r="28" customFormat="false" ht="15" hidden="false" customHeight="true" outlineLevel="0" collapsed="false">
      <c r="A28" s="6" t="s">
        <v>690</v>
      </c>
      <c r="B28" s="6" t="s">
        <v>16</v>
      </c>
      <c r="C28" s="6" t="s">
        <v>681</v>
      </c>
      <c r="D28" s="23" t="n">
        <v>1</v>
      </c>
      <c r="E28" s="23" t="n">
        <v>8</v>
      </c>
      <c r="F28" s="6" t="n">
        <f aca="false">D28*E28</f>
        <v>8</v>
      </c>
      <c r="G28" s="24" t="n">
        <f aca="false">F28*$B$17</f>
        <v>0.52</v>
      </c>
      <c r="H28" s="24" t="n">
        <f aca="false">F28*$B$18</f>
        <v>0.104</v>
      </c>
      <c r="I28" s="24" t="n">
        <f aca="false">F28*$B$19</f>
        <v>0.0264</v>
      </c>
      <c r="J28" s="6" t="s">
        <v>691</v>
      </c>
    </row>
    <row r="29" customFormat="false" ht="15" hidden="false" customHeight="true" outlineLevel="0" collapsed="false">
      <c r="A29" s="6" t="s">
        <v>692</v>
      </c>
      <c r="B29" s="6" t="s">
        <v>16</v>
      </c>
      <c r="C29" s="6" t="s">
        <v>681</v>
      </c>
      <c r="D29" s="23" t="n">
        <v>7</v>
      </c>
      <c r="E29" s="23" t="n">
        <v>3.5</v>
      </c>
      <c r="F29" s="6" t="n">
        <f aca="false">D29*E29</f>
        <v>24.5</v>
      </c>
      <c r="G29" s="24" t="n">
        <f aca="false">F29*$B$17</f>
        <v>1.5925</v>
      </c>
      <c r="H29" s="24" t="n">
        <f aca="false">F29*$B$18</f>
        <v>0.3185</v>
      </c>
      <c r="I29" s="24" t="n">
        <f aca="false">F29*$B$19</f>
        <v>0.08085</v>
      </c>
      <c r="J29" s="6" t="s">
        <v>693</v>
      </c>
    </row>
    <row r="30" customFormat="false" ht="15" hidden="false" customHeight="true" outlineLevel="0" collapsed="false">
      <c r="A30" s="6" t="s">
        <v>288</v>
      </c>
      <c r="B30" s="6" t="s">
        <v>20</v>
      </c>
      <c r="C30" s="6" t="s">
        <v>694</v>
      </c>
      <c r="D30" s="23" t="n">
        <v>1</v>
      </c>
      <c r="E30" s="23" t="n">
        <v>12</v>
      </c>
      <c r="F30" s="6" t="n">
        <f aca="false">D30*E30</f>
        <v>12</v>
      </c>
      <c r="G30" s="24" t="n">
        <f aca="false">F30*$B$17</f>
        <v>0.78</v>
      </c>
      <c r="H30" s="24" t="n">
        <f aca="false">F30*$B$18</f>
        <v>0.156</v>
      </c>
      <c r="I30" s="24" t="n">
        <f aca="false">F30*$B$19</f>
        <v>0.0396</v>
      </c>
      <c r="J30" s="6" t="s">
        <v>695</v>
      </c>
    </row>
    <row r="31" customFormat="false" ht="15" hidden="false" customHeight="true" outlineLevel="0" collapsed="false">
      <c r="A31" s="6" t="s">
        <v>295</v>
      </c>
      <c r="B31" s="6" t="s">
        <v>20</v>
      </c>
      <c r="C31" s="6" t="s">
        <v>696</v>
      </c>
      <c r="D31" s="23" t="n">
        <v>1</v>
      </c>
      <c r="E31" s="23" t="n">
        <v>7</v>
      </c>
      <c r="F31" s="6" t="n">
        <f aca="false">D31*E31</f>
        <v>7</v>
      </c>
      <c r="G31" s="24" t="n">
        <f aca="false">F31*$B$17</f>
        <v>0.455</v>
      </c>
      <c r="H31" s="24" t="n">
        <f aca="false">F31*$B$18</f>
        <v>0.091</v>
      </c>
      <c r="I31" s="24" t="n">
        <f aca="false">F31*$B$19</f>
        <v>0.0231</v>
      </c>
      <c r="J31" s="6" t="s">
        <v>697</v>
      </c>
    </row>
    <row r="32" customFormat="false" ht="15" hidden="false" customHeight="true" outlineLevel="0" collapsed="false">
      <c r="A32" s="25" t="s">
        <v>698</v>
      </c>
      <c r="B32" s="25"/>
      <c r="C32" s="25"/>
      <c r="D32" s="25" t="n">
        <f aca="false">SUM(D24:D31)</f>
        <v>26</v>
      </c>
      <c r="E32" s="25"/>
      <c r="F32" s="25" t="n">
        <f aca="false">SUM(F24:F31)</f>
        <v>118.5</v>
      </c>
      <c r="G32" s="26" t="n">
        <f aca="false">SUM(G24:G31)</f>
        <v>7.7025</v>
      </c>
      <c r="H32" s="26" t="n">
        <f aca="false">SUM(H24:H31)</f>
        <v>1.5405</v>
      </c>
      <c r="I32" s="26" t="n">
        <f aca="false">SUM(I24:I31)</f>
        <v>0.39105</v>
      </c>
      <c r="J32" s="25"/>
    </row>
    <row r="33" customFormat="false" ht="15" hidden="false" customHeight="true" outlineLevel="0" collapsed="false">
      <c r="A33" s="17" t="s">
        <v>699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2026-10-04T18:04:45Z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